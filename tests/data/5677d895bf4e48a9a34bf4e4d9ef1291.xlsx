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oseu\Downloads\"/>
    </mc:Choice>
  </mc:AlternateContent>
  <xr:revisionPtr revIDLastSave="0" documentId="13_ncr:1_{6E419AC8-19DC-4472-8623-CAC6DEE6F8E3}" xr6:coauthVersionLast="47" xr6:coauthVersionMax="47" xr10:uidLastSave="{00000000-0000-0000-0000-000000000000}"/>
  <bookViews>
    <workbookView xWindow="-120" yWindow="-120" windowWidth="51840" windowHeight="21840" xr2:uid="{681485E0-4FA6-4782-9E4D-1B6A2429FF61}"/>
  </bookViews>
  <sheets>
    <sheet name="Pivot &amp; Graphs" sheetId="22" r:id="rId1"/>
    <sheet name="Territories" sheetId="18" r:id="rId2"/>
    <sheet name="Change" sheetId="1" r:id="rId3"/>
    <sheet name="Comparison" sheetId="17" r:id="rId4"/>
    <sheet name="TotalHomelessVA" sheetId="23" r:id="rId5"/>
    <sheet name="TotalHomelessVA Transpose" sheetId="24" r:id="rId6"/>
    <sheet name="Sheet1" sheetId="19" r:id="rId7"/>
    <sheet name="2024" sheetId="2" r:id="rId8"/>
    <sheet name="2023" sheetId="3" r:id="rId9"/>
    <sheet name="2022" sheetId="4" r:id="rId10"/>
    <sheet name="2021" sheetId="5" r:id="rId11"/>
    <sheet name="2020" sheetId="6" r:id="rId12"/>
    <sheet name="2019" sheetId="7" r:id="rId13"/>
    <sheet name="2018" sheetId="8" r:id="rId14"/>
    <sheet name="2017" sheetId="9" r:id="rId15"/>
    <sheet name="2016" sheetId="10" r:id="rId16"/>
    <sheet name="2015" sheetId="11" r:id="rId17"/>
    <sheet name="2014" sheetId="12" r:id="rId18"/>
    <sheet name="2013" sheetId="13" r:id="rId19"/>
    <sheet name="2012" sheetId="14" r:id="rId20"/>
    <sheet name="2011" sheetId="15" r:id="rId21"/>
  </sheets>
  <definedNames>
    <definedName name="_xlchart.v5.0" hidden="1">'Pivot &amp; Graphs'!$Y$27</definedName>
    <definedName name="_xlchart.v5.1" hidden="1">'Pivot &amp; Graphs'!$Y$28:$Y$36</definedName>
    <definedName name="_xlchart.v5.10" hidden="1">'Pivot &amp; Graphs'!$Z$27</definedName>
    <definedName name="_xlchart.v5.11" hidden="1">'Pivot &amp; Graphs'!$Z$28:$Z$36</definedName>
    <definedName name="_xlchart.v5.12" hidden="1">'Pivot &amp; Graphs'!$Z$38:$Z$46</definedName>
    <definedName name="_xlchart.v5.2" hidden="1">'Pivot &amp; Graphs'!$Z$26</definedName>
    <definedName name="_xlchart.v5.3" hidden="1">'Pivot &amp; Graphs'!$Z$27</definedName>
    <definedName name="_xlchart.v5.4" hidden="1">'Pivot &amp; Graphs'!$Z$28:$Z$36</definedName>
    <definedName name="_xlchart.v5.5" hidden="1">'Pivot &amp; Graphs'!$Y$27</definedName>
    <definedName name="_xlchart.v5.6" hidden="1">'Pivot &amp; Graphs'!$Y$28:$Y$36</definedName>
    <definedName name="_xlchart.v5.7" hidden="1">'Pivot &amp; Graphs'!$Y$37</definedName>
    <definedName name="_xlchart.v5.8" hidden="1">'Pivot &amp; Graphs'!$Y$38:$Y$46</definedName>
    <definedName name="_xlchart.v5.9" hidden="1">'Pivot &amp; Graphs'!$Z$26</definedName>
    <definedName name="ExternalData_1" localSheetId="4" hidden="1">TotalHomelessVA!$A$1:$BE$15</definedName>
    <definedName name="ExternalData_2" localSheetId="3" hidden="1">'Comparison'!$A$1:$G$57</definedName>
    <definedName name="ExternalData_2" localSheetId="5" hidden="1">'TotalHomelessVA Transpose'!$A$1:$O$57</definedName>
    <definedName name="ExternalData_3" localSheetId="1" hidden="1">Territories!$A$1:$C$7</definedName>
    <definedName name="Slicer_States">#N/A</definedName>
  </definedNames>
  <calcPr calcId="191029"/>
  <pivotCaches>
    <pivotCache cacheId="12" r:id="rId22"/>
    <pivotCache cacheId="17" r:id="rId23"/>
  </pivotCaches>
  <extLs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2024_16ba2b6d-3d82-4805-9a88-4c6b47466762" name="2024" connection="Query - 202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 i="19" l="1" a="1"/>
  <c r="AD6" i="19" a="1"/>
  <c r="AL6" i="19" a="1"/>
  <c r="AT6" i="19" a="1"/>
  <c r="BB6" i="19" a="1"/>
  <c r="Z7" i="19" a="1"/>
  <c r="AH7" i="19" a="1"/>
  <c r="AP7" i="19" a="1"/>
  <c r="AX7" i="19" a="1"/>
  <c r="V8" i="19" a="1"/>
  <c r="AD8" i="19" a="1"/>
  <c r="AL8" i="19" a="1"/>
  <c r="AT8" i="19" a="1"/>
  <c r="BB8" i="19" a="1"/>
  <c r="Z9" i="19" a="1"/>
  <c r="AH9" i="19" a="1"/>
  <c r="AP9" i="19" a="1"/>
  <c r="AX9" i="19" a="1"/>
  <c r="V10" i="19" a="1"/>
  <c r="AD10" i="19" a="1"/>
  <c r="AL10" i="19" a="1"/>
  <c r="AT10" i="19" a="1"/>
  <c r="BB10" i="19" a="1"/>
  <c r="Z11" i="19" a="1"/>
  <c r="AH11" i="19" a="1"/>
  <c r="AP11" i="19" a="1"/>
  <c r="AX11" i="19" a="1"/>
  <c r="V12" i="19" a="1"/>
  <c r="AD12" i="19" a="1"/>
  <c r="AL12" i="19" a="1"/>
  <c r="AT12" i="19" a="1"/>
  <c r="BB12" i="19" a="1"/>
  <c r="Z13" i="19" a="1"/>
  <c r="AH13" i="19" a="1"/>
  <c r="AP13" i="19" a="1"/>
  <c r="AX13" i="19" a="1"/>
  <c r="V14" i="19" a="1"/>
  <c r="AD14" i="19" a="1"/>
  <c r="AL14" i="19" a="1"/>
  <c r="AT14" i="19" a="1"/>
  <c r="BB14" i="19" a="1"/>
  <c r="Z15" i="19" a="1"/>
  <c r="AH15" i="19" a="1"/>
  <c r="AP15" i="19" a="1"/>
  <c r="AX15" i="19" a="1"/>
  <c r="V16" i="19" a="1"/>
  <c r="AD16" i="19" a="1"/>
  <c r="AL16" i="19" a="1"/>
  <c r="AT16" i="19" a="1"/>
  <c r="BB16" i="19" a="1"/>
  <c r="Z17" i="19" a="1"/>
  <c r="AH17" i="19" a="1"/>
  <c r="AP17" i="19" a="1"/>
  <c r="AX17" i="19" a="1"/>
  <c r="V18" i="19" a="1"/>
  <c r="AD18" i="19" a="1"/>
  <c r="AL18" i="19" a="1"/>
  <c r="AT18" i="19" a="1"/>
  <c r="BB18" i="19" a="1"/>
  <c r="Z19" i="19" a="1"/>
  <c r="AH19" i="19" a="1"/>
  <c r="AP19" i="19" a="1"/>
  <c r="AX19" i="19" a="1"/>
  <c r="AY15" i="19" a="1"/>
  <c r="AM16" i="19" a="1"/>
  <c r="BC16" i="19" a="1"/>
  <c r="AI17" i="19" a="1"/>
  <c r="AQ17" i="19" a="1"/>
  <c r="AE18" i="19" a="1"/>
  <c r="AU18" i="19" a="1"/>
  <c r="AA19" i="19" a="1"/>
  <c r="AY19" i="19" a="1"/>
  <c r="AJ7" i="19" a="1"/>
  <c r="BD8" i="19" a="1"/>
  <c r="AR9" i="19" a="1"/>
  <c r="AI15" i="19" a="1"/>
  <c r="AE16" i="19" a="1"/>
  <c r="AA17" i="19" a="1"/>
  <c r="AY17" i="19" a="1"/>
  <c r="AM18" i="19" a="1"/>
  <c r="BC18" i="19" a="1"/>
  <c r="AQ19" i="19" a="1"/>
  <c r="AR7" i="19" a="1"/>
  <c r="AF8" i="19" a="1"/>
  <c r="AV8" i="19" a="1"/>
  <c r="AB9" i="19" a="1"/>
  <c r="AZ9" i="19" a="1"/>
  <c r="W6" i="19" a="1"/>
  <c r="AE6" i="19" a="1"/>
  <c r="AM6" i="19" a="1"/>
  <c r="AU6" i="19" a="1"/>
  <c r="BC6" i="19" a="1"/>
  <c r="AA7" i="19" a="1"/>
  <c r="AI7" i="19" a="1"/>
  <c r="AQ7" i="19" a="1"/>
  <c r="AY7" i="19" a="1"/>
  <c r="W8" i="19" a="1"/>
  <c r="AE8" i="19" a="1"/>
  <c r="AM8" i="19" a="1"/>
  <c r="AU8" i="19" a="1"/>
  <c r="BC8" i="19" a="1"/>
  <c r="AA9" i="19" a="1"/>
  <c r="AI9" i="19" a="1"/>
  <c r="AQ9" i="19" a="1"/>
  <c r="AY9" i="19" a="1"/>
  <c r="W10" i="19" a="1"/>
  <c r="AE10" i="19" a="1"/>
  <c r="AM10" i="19" a="1"/>
  <c r="AU10" i="19" a="1"/>
  <c r="BC10" i="19" a="1"/>
  <c r="AA11" i="19" a="1"/>
  <c r="AI11" i="19" a="1"/>
  <c r="AQ11" i="19" a="1"/>
  <c r="AY11" i="19" a="1"/>
  <c r="W12" i="19" a="1"/>
  <c r="AE12" i="19" a="1"/>
  <c r="AM12" i="19" a="1"/>
  <c r="AU12" i="19" a="1"/>
  <c r="BC12" i="19" a="1"/>
  <c r="AA13" i="19" a="1"/>
  <c r="AI13" i="19" a="1"/>
  <c r="AQ13" i="19" a="1"/>
  <c r="AY13" i="19" a="1"/>
  <c r="W14" i="19" a="1"/>
  <c r="AE14" i="19" a="1"/>
  <c r="AM14" i="19" a="1"/>
  <c r="AU14" i="19" a="1"/>
  <c r="BC14" i="19" a="1"/>
  <c r="AA15" i="19" a="1"/>
  <c r="AQ15" i="19" a="1"/>
  <c r="W16" i="19" a="1"/>
  <c r="AU16" i="19" a="1"/>
  <c r="W18" i="19" a="1"/>
  <c r="AI19" i="19" a="1"/>
  <c r="X8" i="19" a="1"/>
  <c r="AJ9" i="19" a="1"/>
  <c r="X6" i="19" a="1"/>
  <c r="AF6" i="19" a="1"/>
  <c r="AN6" i="19" a="1"/>
  <c r="AV6" i="19" a="1"/>
  <c r="BD6" i="19" a="1"/>
  <c r="AB7" i="19" a="1"/>
  <c r="AZ7" i="19" a="1"/>
  <c r="AN8" i="19" a="1"/>
  <c r="Y6" i="19" a="1"/>
  <c r="AG6" i="19" a="1"/>
  <c r="AO6" i="19" a="1"/>
  <c r="AW6" i="19" a="1"/>
  <c r="BE6" i="19" a="1"/>
  <c r="AC7" i="19" a="1"/>
  <c r="AK7" i="19" a="1"/>
  <c r="AS7" i="19" a="1"/>
  <c r="BA7" i="19" a="1"/>
  <c r="Y8" i="19" a="1"/>
  <c r="AG8" i="19" a="1"/>
  <c r="AO8" i="19" a="1"/>
  <c r="AW8" i="19" a="1"/>
  <c r="BE8" i="19" a="1"/>
  <c r="AC9" i="19" a="1"/>
  <c r="AK9" i="19" a="1"/>
  <c r="AS9" i="19" a="1"/>
  <c r="BA9" i="19" a="1"/>
  <c r="Y10" i="19" a="1"/>
  <c r="AG10" i="19" a="1"/>
  <c r="AO10" i="19" a="1"/>
  <c r="AW10" i="19" a="1"/>
  <c r="BE10" i="19" a="1"/>
  <c r="AC11" i="19" a="1"/>
  <c r="AK11" i="19" a="1"/>
  <c r="AS11" i="19" a="1"/>
  <c r="BA11" i="19" a="1"/>
  <c r="Y12" i="19" a="1"/>
  <c r="AG12" i="19" a="1"/>
  <c r="AO12" i="19" a="1"/>
  <c r="AW12" i="19" a="1"/>
  <c r="BE12" i="19" a="1"/>
  <c r="AC13" i="19" a="1"/>
  <c r="AK13" i="19" a="1"/>
  <c r="AS13" i="19" a="1"/>
  <c r="BA13" i="19" a="1"/>
  <c r="Y14" i="19" a="1"/>
  <c r="AG14" i="19" a="1"/>
  <c r="AO14" i="19" a="1"/>
  <c r="AW14" i="19" a="1"/>
  <c r="BE14" i="19" a="1"/>
  <c r="AC15" i="19" a="1"/>
  <c r="AK15" i="19" a="1"/>
  <c r="AS15" i="19" a="1"/>
  <c r="BA15" i="19" a="1"/>
  <c r="Y16" i="19" a="1"/>
  <c r="AG16" i="19" a="1"/>
  <c r="AO16" i="19" a="1"/>
  <c r="AW16" i="19" a="1"/>
  <c r="BE16" i="19" a="1"/>
  <c r="AC17" i="19" a="1"/>
  <c r="AK17" i="19" a="1"/>
  <c r="AS17" i="19" a="1"/>
  <c r="BA17" i="19" a="1"/>
  <c r="Y18" i="19" a="1"/>
  <c r="AG18" i="19" a="1"/>
  <c r="AO18" i="19" a="1"/>
  <c r="AW18" i="19" a="1"/>
  <c r="BE18" i="19" a="1"/>
  <c r="AC19" i="19" a="1"/>
  <c r="AK19" i="19" a="1"/>
  <c r="AS19" i="19" a="1"/>
  <c r="BA19" i="19" a="1"/>
  <c r="BB17" i="19" a="1"/>
  <c r="AT19" i="19" a="1"/>
  <c r="AU15" i="19" a="1"/>
  <c r="AE17" i="19" a="1"/>
  <c r="AI18" i="19" a="1"/>
  <c r="AE19" i="19" a="1"/>
  <c r="Z6" i="19" a="1"/>
  <c r="AH6" i="19" a="1"/>
  <c r="AP6" i="19" a="1"/>
  <c r="AX6" i="19" a="1"/>
  <c r="V7" i="19" a="1"/>
  <c r="AD7" i="19" a="1"/>
  <c r="AL7" i="19" a="1"/>
  <c r="AT7" i="19" a="1"/>
  <c r="BB7" i="19" a="1"/>
  <c r="Z8" i="19" a="1"/>
  <c r="AH8" i="19" a="1"/>
  <c r="AP8" i="19" a="1"/>
  <c r="AX8" i="19" a="1"/>
  <c r="V9" i="19" a="1"/>
  <c r="AD9" i="19" a="1"/>
  <c r="AL9" i="19" a="1"/>
  <c r="AT9" i="19" a="1"/>
  <c r="BB9" i="19" a="1"/>
  <c r="Z10" i="19" a="1"/>
  <c r="AH10" i="19" a="1"/>
  <c r="AP10" i="19" a="1"/>
  <c r="AX10" i="19" a="1"/>
  <c r="V11" i="19" a="1"/>
  <c r="AD11" i="19" a="1"/>
  <c r="AL11" i="19" a="1"/>
  <c r="AT11" i="19" a="1"/>
  <c r="BB11" i="19" a="1"/>
  <c r="Z12" i="19" a="1"/>
  <c r="AH12" i="19" a="1"/>
  <c r="AP12" i="19" a="1"/>
  <c r="AX12" i="19" a="1"/>
  <c r="V13" i="19" a="1"/>
  <c r="AD13" i="19" a="1"/>
  <c r="AL13" i="19" a="1"/>
  <c r="AT13" i="19" a="1"/>
  <c r="BB13" i="19" a="1"/>
  <c r="Z14" i="19" a="1"/>
  <c r="AH14" i="19" a="1"/>
  <c r="AP14" i="19" a="1"/>
  <c r="AX14" i="19" a="1"/>
  <c r="V15" i="19" a="1"/>
  <c r="AD15" i="19" a="1"/>
  <c r="AL15" i="19" a="1"/>
  <c r="AT15" i="19" a="1"/>
  <c r="BB15" i="19" a="1"/>
  <c r="Z16" i="19" a="1"/>
  <c r="AH16" i="19" a="1"/>
  <c r="AP16" i="19" a="1"/>
  <c r="AX16" i="19" a="1"/>
  <c r="V17" i="19" a="1"/>
  <c r="AD17" i="19" a="1"/>
  <c r="AL17" i="19" a="1"/>
  <c r="AT17" i="19" a="1"/>
  <c r="Z18" i="19" a="1"/>
  <c r="AH18" i="19" a="1"/>
  <c r="AP18" i="19" a="1"/>
  <c r="AX18" i="19" a="1"/>
  <c r="V19" i="19" a="1"/>
  <c r="AD19" i="19" a="1"/>
  <c r="AL19" i="19" a="1"/>
  <c r="BB19" i="19" a="1"/>
  <c r="AE15" i="19" a="1"/>
  <c r="AI16" i="19" a="1"/>
  <c r="W17" i="19" a="1"/>
  <c r="AM17" i="19" a="1"/>
  <c r="AA18" i="19" a="1"/>
  <c r="AQ18" i="19" a="1"/>
  <c r="AM19" i="19" a="1"/>
  <c r="BC19" i="19" a="1"/>
  <c r="AB8" i="19" a="1"/>
  <c r="W13" i="19" a="1"/>
  <c r="AY14" i="19" a="1"/>
  <c r="AM15" i="19" a="1"/>
  <c r="AA16" i="19" a="1"/>
  <c r="AQ16" i="19" a="1"/>
  <c r="AU17" i="19" a="1"/>
  <c r="AY18" i="19" a="1"/>
  <c r="AU19" i="19" a="1"/>
  <c r="AA6" i="19" a="1"/>
  <c r="AI6" i="19" a="1"/>
  <c r="AQ6" i="19" a="1"/>
  <c r="AY6" i="19" a="1"/>
  <c r="W7" i="19" a="1"/>
  <c r="AE7" i="19" a="1"/>
  <c r="AM7" i="19" a="1"/>
  <c r="AU7" i="19" a="1"/>
  <c r="BC7" i="19" a="1"/>
  <c r="AA8" i="19" a="1"/>
  <c r="AI8" i="19" a="1"/>
  <c r="AQ8" i="19" a="1"/>
  <c r="AY8" i="19" a="1"/>
  <c r="W9" i="19" a="1"/>
  <c r="AE9" i="19" a="1"/>
  <c r="AM9" i="19" a="1"/>
  <c r="AU9" i="19" a="1"/>
  <c r="BC9" i="19" a="1"/>
  <c r="AA10" i="19" a="1"/>
  <c r="AI10" i="19" a="1"/>
  <c r="AQ10" i="19" a="1"/>
  <c r="AY10" i="19" a="1"/>
  <c r="W11" i="19" a="1"/>
  <c r="AE11" i="19" a="1"/>
  <c r="AM11" i="19" a="1"/>
  <c r="AU11" i="19" a="1"/>
  <c r="BC11" i="19" a="1"/>
  <c r="AA12" i="19" a="1"/>
  <c r="AI12" i="19" a="1"/>
  <c r="AQ12" i="19" a="1"/>
  <c r="AY12" i="19" a="1"/>
  <c r="AE13" i="19" a="1"/>
  <c r="AM13" i="19" a="1"/>
  <c r="AU13" i="19" a="1"/>
  <c r="BC13" i="19" a="1"/>
  <c r="AA14" i="19" a="1"/>
  <c r="AI14" i="19" a="1"/>
  <c r="AQ14" i="19" a="1"/>
  <c r="W15" i="19" a="1"/>
  <c r="BC15" i="19" a="1"/>
  <c r="AY16" i="19" a="1"/>
  <c r="BC17" i="19" a="1"/>
  <c r="W19" i="19" a="1"/>
  <c r="AB6" i="19" a="1"/>
  <c r="AJ6" i="19" a="1"/>
  <c r="AR6" i="19" a="1"/>
  <c r="AZ6" i="19" a="1"/>
  <c r="X7" i="19" a="1"/>
  <c r="AF7" i="19" a="1"/>
  <c r="AN7" i="19" a="1"/>
  <c r="AC6" i="19" a="1"/>
  <c r="AK6" i="19" a="1"/>
  <c r="AS6" i="19" a="1"/>
  <c r="BA6" i="19" a="1"/>
  <c r="Y7" i="19" a="1"/>
  <c r="AG7" i="19" a="1"/>
  <c r="AO7" i="19" a="1"/>
  <c r="AW7" i="19" a="1"/>
  <c r="BE7" i="19" a="1"/>
  <c r="AC8" i="19" a="1"/>
  <c r="AK8" i="19" a="1"/>
  <c r="AS8" i="19" a="1"/>
  <c r="BA8" i="19" a="1"/>
  <c r="Y9" i="19" a="1"/>
  <c r="AG9" i="19" a="1"/>
  <c r="AO9" i="19" a="1"/>
  <c r="AJ15" i="19" a="1"/>
  <c r="AZ16" i="19" a="1"/>
  <c r="AN17" i="19" a="1"/>
  <c r="X18" i="19" a="1"/>
  <c r="AS18" i="19" a="1"/>
  <c r="AF19" i="19" a="1"/>
  <c r="AZ19" i="19" a="1"/>
  <c r="AV14" i="19" a="1"/>
  <c r="AB16" i="19" a="1"/>
  <c r="BA16" i="19" a="1"/>
  <c r="AJ10" i="19" a="1"/>
  <c r="AF11" i="19" a="1"/>
  <c r="AB12" i="19" a="1"/>
  <c r="X13" i="19" a="1"/>
  <c r="BD13" i="19" a="1"/>
  <c r="AN15" i="19" a="1"/>
  <c r="AO17" i="19" a="1"/>
  <c r="AV18" i="19" a="1"/>
  <c r="AG19" i="19" a="1"/>
  <c r="AK10" i="19" a="1"/>
  <c r="AG11" i="19" a="1"/>
  <c r="Y13" i="19" a="1"/>
  <c r="BE13" i="19" a="1"/>
  <c r="AO15" i="19" a="1"/>
  <c r="BD16" i="19" a="1"/>
  <c r="BD9" i="19" a="1"/>
  <c r="AZ15" i="19" a="1"/>
  <c r="BE9" i="19" a="1"/>
  <c r="AB15" i="19" a="1"/>
  <c r="AG17" i="19" a="1"/>
  <c r="AV16" i="19" a="1"/>
  <c r="AC10" i="19" a="1"/>
  <c r="X9" i="19" a="1"/>
  <c r="AF10" i="19" a="1"/>
  <c r="AB11" i="19" a="1"/>
  <c r="X12" i="19" a="1"/>
  <c r="BD12" i="19" a="1"/>
  <c r="AZ13" i="19" a="1"/>
  <c r="AC16" i="19" a="1"/>
  <c r="AB18" i="19" a="1"/>
  <c r="BD19" i="19" a="1"/>
  <c r="AF9" i="19" a="1"/>
  <c r="AC12" i="19" a="1"/>
  <c r="AZ14" i="19" a="1"/>
  <c r="AN16" i="19" a="1"/>
  <c r="AJ14" i="19" a="1"/>
  <c r="BA10" i="19" a="1"/>
  <c r="AN18" i="19" a="1"/>
  <c r="AB19" i="19" a="1"/>
  <c r="AW13" i="19" a="1"/>
  <c r="BA14" i="19" a="1"/>
  <c r="AF16" i="19" a="1"/>
  <c r="AR17" i="19" a="1"/>
  <c r="AC18" i="19" a="1"/>
  <c r="AZ18" i="19" a="1"/>
  <c r="AJ19" i="19" a="1"/>
  <c r="BE19" i="19" a="1"/>
  <c r="AW15" i="19" a="1"/>
  <c r="AR12" i="19" a="1"/>
  <c r="AF17" i="19" a="1"/>
  <c r="AO13" i="19" a="1"/>
  <c r="AV19" i="19" a="1"/>
  <c r="AZ8" i="19" a="1"/>
  <c r="AN9" i="19" a="1"/>
  <c r="AN10" i="19" a="1"/>
  <c r="AJ11" i="19" a="1"/>
  <c r="AF12" i="19" a="1"/>
  <c r="AB13" i="19" a="1"/>
  <c r="X14" i="19" a="1"/>
  <c r="AR15" i="19" a="1"/>
  <c r="X17" i="19" a="1"/>
  <c r="AJ18" i="19" a="1"/>
  <c r="AN13" i="19" a="1"/>
  <c r="AK18" i="19" a="1"/>
  <c r="AW11" i="19" a="1"/>
  <c r="BD15" i="19" a="1"/>
  <c r="AJ17" i="19" a="1"/>
  <c r="BE11" i="19" a="1"/>
  <c r="AV7" i="19" a="1"/>
  <c r="AR10" i="19" a="1"/>
  <c r="AN11" i="19" a="1"/>
  <c r="AJ12" i="19" a="1"/>
  <c r="AF13" i="19" a="1"/>
  <c r="AB14" i="19" a="1"/>
  <c r="BD14" i="19" a="1"/>
  <c r="AJ16" i="19" a="1"/>
  <c r="Y17" i="19" a="1"/>
  <c r="AV17" i="19" a="1"/>
  <c r="AF18" i="19" a="1"/>
  <c r="BA18" i="19" a="1"/>
  <c r="AN19" i="19" a="1"/>
  <c r="AV15" i="19" a="1"/>
  <c r="BD7" i="19" a="1"/>
  <c r="AW9" i="19" a="1"/>
  <c r="X15" i="19" a="1"/>
  <c r="AW17" i="19" a="1"/>
  <c r="AO19" i="19" a="1"/>
  <c r="AZ10" i="19" a="1"/>
  <c r="AZ17" i="19" a="1"/>
  <c r="AJ8" i="19" a="1"/>
  <c r="AR16" i="19" a="1"/>
  <c r="AS16" i="19" a="1"/>
  <c r="BE17" i="19" a="1"/>
  <c r="Y11" i="19" a="1"/>
  <c r="X16" i="19" a="1"/>
  <c r="AV9" i="19" a="1"/>
  <c r="AS10" i="19" a="1"/>
  <c r="AO11" i="19" a="1"/>
  <c r="AK12" i="19" a="1"/>
  <c r="AG13" i="19" a="1"/>
  <c r="AC14" i="19" a="1"/>
  <c r="AK16" i="19" a="1"/>
  <c r="AB17" i="19" a="1"/>
  <c r="BD18" i="19" a="1"/>
  <c r="AV11" i="19" a="1"/>
  <c r="AR19" i="19" a="1"/>
  <c r="AK14" i="19" a="1"/>
  <c r="Y19" i="19" a="1"/>
  <c r="AV10" i="19" a="1"/>
  <c r="AR11" i="19" a="1"/>
  <c r="AN12" i="19" a="1"/>
  <c r="AJ13" i="19" a="1"/>
  <c r="AF14" i="19" a="1"/>
  <c r="Y15" i="19" a="1"/>
  <c r="X19" i="19" a="1"/>
  <c r="AS12" i="19" a="1"/>
  <c r="BD17" i="19" a="1"/>
  <c r="AW19" i="19" a="1"/>
  <c r="BA12" i="19" a="1"/>
  <c r="AR8" i="19" a="1"/>
  <c r="X10" i="19" a="1"/>
  <c r="BD10" i="19" a="1"/>
  <c r="AZ11" i="19" a="1"/>
  <c r="AV12" i="19" a="1"/>
  <c r="AR13" i="19" a="1"/>
  <c r="AN14" i="19" a="1"/>
  <c r="AF15" i="19" a="1"/>
  <c r="BE15" i="19" a="1"/>
  <c r="AB10" i="19" a="1"/>
  <c r="X11" i="19" a="1"/>
  <c r="BD11" i="19" a="1"/>
  <c r="AZ12" i="19" a="1"/>
  <c r="AV13" i="19" a="1"/>
  <c r="AR14" i="19" a="1"/>
  <c r="AG15" i="19" a="1"/>
  <c r="AR18" i="19" a="1"/>
  <c r="AS14" i="19" a="1"/>
  <c r="U7" i="19" a="1"/>
  <c r="U15" i="19" a="1"/>
  <c r="U8" i="19" a="1"/>
  <c r="U16" i="19" a="1"/>
  <c r="U9" i="19" a="1"/>
  <c r="U17" i="19" a="1"/>
  <c r="U18" i="19" a="1"/>
  <c r="U11" i="19" a="1"/>
  <c r="U12" i="19" a="1"/>
  <c r="U13" i="19" a="1"/>
  <c r="U10" i="19" a="1"/>
  <c r="U14" i="19" a="1"/>
  <c r="U19" i="19" a="1"/>
  <c r="U6" i="19" a="1"/>
  <c r="B7" i="19" a="1"/>
  <c r="J7" i="19" a="1"/>
  <c r="R7" i="19" a="1"/>
  <c r="H8" i="19" a="1"/>
  <c r="P8" i="19" a="1"/>
  <c r="F9" i="19" a="1"/>
  <c r="N9" i="19" a="1"/>
  <c r="D10" i="19" a="1"/>
  <c r="L10" i="19" a="1"/>
  <c r="B11" i="19" a="1"/>
  <c r="J11" i="19" a="1"/>
  <c r="R11" i="19" a="1"/>
  <c r="H12" i="19" a="1"/>
  <c r="P12" i="19" a="1"/>
  <c r="F13" i="19" a="1"/>
  <c r="N13" i="19" a="1"/>
  <c r="D14" i="19" a="1"/>
  <c r="L14" i="19" a="1"/>
  <c r="B15" i="19" a="1"/>
  <c r="J15" i="19" a="1"/>
  <c r="R15" i="19" a="1"/>
  <c r="H16" i="19" a="1"/>
  <c r="P16" i="19" a="1"/>
  <c r="F17" i="19" a="1"/>
  <c r="N17" i="19" a="1"/>
  <c r="D18" i="19" a="1"/>
  <c r="L18" i="19" a="1"/>
  <c r="B19" i="19" a="1"/>
  <c r="J19" i="19" a="1"/>
  <c r="R19" i="19" a="1"/>
  <c r="K7" i="19" a="1"/>
  <c r="S7" i="19" a="1"/>
  <c r="I8" i="19" a="1"/>
  <c r="Q8" i="19" a="1"/>
  <c r="G9" i="19" a="1"/>
  <c r="O9" i="19" a="1"/>
  <c r="E10" i="19" a="1"/>
  <c r="M10" i="19" a="1"/>
  <c r="C11" i="19" a="1"/>
  <c r="S11" i="19" a="1"/>
  <c r="I12" i="19" a="1"/>
  <c r="Q12" i="19" a="1"/>
  <c r="G13" i="19" a="1"/>
  <c r="O13" i="19" a="1"/>
  <c r="E14" i="19" a="1"/>
  <c r="C15" i="19" a="1"/>
  <c r="K15" i="19" a="1"/>
  <c r="S15" i="19" a="1"/>
  <c r="I16" i="19" a="1"/>
  <c r="Q16" i="19" a="1"/>
  <c r="O17" i="19" a="1"/>
  <c r="E18" i="19" a="1"/>
  <c r="M18" i="19" a="1"/>
  <c r="C19" i="19" a="1"/>
  <c r="K19" i="19" a="1"/>
  <c r="L7" i="19" a="1"/>
  <c r="B8" i="19" a="1"/>
  <c r="J8" i="19" a="1"/>
  <c r="R8" i="19" a="1"/>
  <c r="P9" i="19" a="1"/>
  <c r="N10" i="19" a="1"/>
  <c r="L11" i="19" a="1"/>
  <c r="J12" i="19" a="1"/>
  <c r="P13" i="19" a="1"/>
  <c r="N14" i="19" a="1"/>
  <c r="L15" i="19" a="1"/>
  <c r="R16" i="19" a="1"/>
  <c r="F18" i="19" a="1"/>
  <c r="L19" i="19" a="1"/>
  <c r="C7" i="19" a="1"/>
  <c r="K11" i="19" a="1"/>
  <c r="M14" i="19" a="1"/>
  <c r="G17" i="19" a="1"/>
  <c r="S19" i="19" a="1"/>
  <c r="H13" i="19" a="1"/>
  <c r="N18" i="19" a="1"/>
  <c r="H17" i="19" a="1"/>
  <c r="D7" i="19" a="1"/>
  <c r="F10" i="19" a="1"/>
  <c r="E7" i="19" a="1"/>
  <c r="M7" i="19" a="1"/>
  <c r="C8" i="19" a="1"/>
  <c r="K8" i="19" a="1"/>
  <c r="S8" i="19" a="1"/>
  <c r="I9" i="19" a="1"/>
  <c r="Q9" i="19" a="1"/>
  <c r="G10" i="19" a="1"/>
  <c r="O10" i="19" a="1"/>
  <c r="E11" i="19" a="1"/>
  <c r="M11" i="19" a="1"/>
  <c r="C12" i="19" a="1"/>
  <c r="K12" i="19" a="1"/>
  <c r="S12" i="19" a="1"/>
  <c r="I13" i="19" a="1"/>
  <c r="Q13" i="19" a="1"/>
  <c r="G14" i="19" a="1"/>
  <c r="O14" i="19" a="1"/>
  <c r="E15" i="19" a="1"/>
  <c r="M15" i="19" a="1"/>
  <c r="C16" i="19" a="1"/>
  <c r="K16" i="19" a="1"/>
  <c r="S16" i="19" a="1"/>
  <c r="I17" i="19" a="1"/>
  <c r="Q17" i="19" a="1"/>
  <c r="G18" i="19" a="1"/>
  <c r="O18" i="19" a="1"/>
  <c r="E19" i="19" a="1"/>
  <c r="M19" i="19" a="1"/>
  <c r="R17" i="19" a="1"/>
  <c r="F19" i="19" a="1"/>
  <c r="G19" i="19" a="1"/>
  <c r="N8" i="19" a="1"/>
  <c r="H11" i="19" a="1"/>
  <c r="N12" i="19" a="1"/>
  <c r="J14" i="19" a="1"/>
  <c r="N16" i="19" a="1"/>
  <c r="B18" i="19" a="1"/>
  <c r="H19" i="19" a="1"/>
  <c r="N7" i="19" a="1"/>
  <c r="L8" i="19" a="1"/>
  <c r="B9" i="19" a="1"/>
  <c r="R9" i="19" a="1"/>
  <c r="H10" i="19" a="1"/>
  <c r="P10" i="19" a="1"/>
  <c r="N11" i="19" a="1"/>
  <c r="D12" i="19" a="1"/>
  <c r="L12" i="19" a="1"/>
  <c r="J13" i="19" a="1"/>
  <c r="R13" i="19" a="1"/>
  <c r="H14" i="19" a="1"/>
  <c r="F15" i="19" a="1"/>
  <c r="N15" i="19" a="1"/>
  <c r="D16" i="19" a="1"/>
  <c r="B17" i="19" a="1"/>
  <c r="J17" i="19" a="1"/>
  <c r="H18" i="19" a="1"/>
  <c r="N19" i="19" a="1"/>
  <c r="I18" i="19" a="1"/>
  <c r="P7" i="19" a="1"/>
  <c r="L9" i="19" a="1"/>
  <c r="R10" i="19" a="1"/>
  <c r="F12" i="19" a="1"/>
  <c r="L13" i="19" a="1"/>
  <c r="H15" i="19" a="1"/>
  <c r="D17" i="19" a="1"/>
  <c r="J18" i="19" a="1"/>
  <c r="F7" i="19" a="1"/>
  <c r="D8" i="19" a="1"/>
  <c r="J9" i="19" a="1"/>
  <c r="F11" i="19" a="1"/>
  <c r="B13" i="19" a="1"/>
  <c r="P14" i="19" a="1"/>
  <c r="L16" i="19" a="1"/>
  <c r="P18" i="19" a="1"/>
  <c r="B14" i="19" a="1"/>
  <c r="P19" i="19" a="1"/>
  <c r="G7" i="19" a="1"/>
  <c r="O7" i="19" a="1"/>
  <c r="E8" i="19" a="1"/>
  <c r="M8" i="19" a="1"/>
  <c r="C9" i="19" a="1"/>
  <c r="K9" i="19" a="1"/>
  <c r="S9" i="19" a="1"/>
  <c r="I10" i="19" a="1"/>
  <c r="Q10" i="19" a="1"/>
  <c r="G11" i="19" a="1"/>
  <c r="O11" i="19" a="1"/>
  <c r="E12" i="19" a="1"/>
  <c r="M12" i="19" a="1"/>
  <c r="C13" i="19" a="1"/>
  <c r="K13" i="19" a="1"/>
  <c r="S13" i="19" a="1"/>
  <c r="I14" i="19" a="1"/>
  <c r="Q14" i="19" a="1"/>
  <c r="G15" i="19" a="1"/>
  <c r="O15" i="19" a="1"/>
  <c r="E16" i="19" a="1"/>
  <c r="M16" i="19" a="1"/>
  <c r="C17" i="19" a="1"/>
  <c r="K17" i="19" a="1"/>
  <c r="S17" i="19" a="1"/>
  <c r="O19" i="19" a="1"/>
  <c r="F8" i="19" a="1"/>
  <c r="D9" i="19" a="1"/>
  <c r="B10" i="19" a="1"/>
  <c r="J10" i="19" a="1"/>
  <c r="P11" i="19" a="1"/>
  <c r="D13" i="19" a="1"/>
  <c r="R14" i="19" a="1"/>
  <c r="F16" i="19" a="1"/>
  <c r="L17" i="19" a="1"/>
  <c r="R18" i="19" a="1"/>
  <c r="Q18" i="19" a="1"/>
  <c r="H7" i="19" a="1"/>
  <c r="P15" i="19" a="1"/>
  <c r="I7" i="19" a="1"/>
  <c r="Q7" i="19" a="1"/>
  <c r="G8" i="19" a="1"/>
  <c r="O8" i="19" a="1"/>
  <c r="E9" i="19" a="1"/>
  <c r="M9" i="19" a="1"/>
  <c r="C10" i="19" a="1"/>
  <c r="K10" i="19" a="1"/>
  <c r="S10" i="19" a="1"/>
  <c r="I11" i="19" a="1"/>
  <c r="Q11" i="19" a="1"/>
  <c r="G12" i="19" a="1"/>
  <c r="O12" i="19" a="1"/>
  <c r="E13" i="19" a="1"/>
  <c r="M13" i="19" a="1"/>
  <c r="C14" i="19" a="1"/>
  <c r="K14" i="19" a="1"/>
  <c r="S14" i="19" a="1"/>
  <c r="I15" i="19" a="1"/>
  <c r="Q15" i="19" a="1"/>
  <c r="G16" i="19" a="1"/>
  <c r="O16" i="19" a="1"/>
  <c r="E17" i="19" a="1"/>
  <c r="M17" i="19" a="1"/>
  <c r="C18" i="19" a="1"/>
  <c r="K18" i="19" a="1"/>
  <c r="S18" i="19" a="1"/>
  <c r="I19" i="19" a="1"/>
  <c r="Q19" i="19" a="1"/>
  <c r="H9" i="19" a="1"/>
  <c r="D11" i="19" a="1"/>
  <c r="B12" i="19" a="1"/>
  <c r="R12" i="19" a="1"/>
  <c r="F14" i="19" a="1"/>
  <c r="D15" i="19" a="1"/>
  <c r="B16" i="19" a="1"/>
  <c r="J16" i="19" a="1"/>
  <c r="P17" i="19" a="1"/>
  <c r="D19" i="19" a="1"/>
  <c r="C6" i="19" a="1"/>
  <c r="K6" i="19" a="1"/>
  <c r="S6" i="19" a="1"/>
  <c r="O6" i="19" a="1"/>
  <c r="P6" i="19" a="1"/>
  <c r="Q6" i="19" a="1"/>
  <c r="L6" i="19" a="1"/>
  <c r="E6" i="19" a="1"/>
  <c r="M6" i="19" a="1"/>
  <c r="N6" i="19" a="1"/>
  <c r="G6" i="19" a="1"/>
  <c r="I6" i="19" a="1"/>
  <c r="R6" i="19" a="1"/>
  <c r="D6" i="19" a="1"/>
  <c r="H6" i="19" a="1"/>
  <c r="J6" i="19" a="1"/>
  <c r="F6" i="19" a="1"/>
  <c r="B6" i="19" a="1"/>
  <c r="AS14" i="19" l="1"/>
  <c r="AR18" i="19"/>
  <c r="AG15" i="19"/>
  <c r="AR14" i="19"/>
  <c r="AV13" i="19"/>
  <c r="AZ12" i="19"/>
  <c r="BD11" i="19"/>
  <c r="X11" i="19"/>
  <c r="AB10" i="19"/>
  <c r="BE15" i="19"/>
  <c r="AF15" i="19"/>
  <c r="AN14" i="19"/>
  <c r="AR13" i="19"/>
  <c r="AV12" i="19"/>
  <c r="AZ11" i="19"/>
  <c r="BD10" i="19"/>
  <c r="X10" i="19"/>
  <c r="AR8" i="19"/>
  <c r="BA12" i="19"/>
  <c r="AW19" i="19"/>
  <c r="BD17" i="19"/>
  <c r="AS12" i="19"/>
  <c r="X19" i="19"/>
  <c r="Y15" i="19"/>
  <c r="AF14" i="19"/>
  <c r="AJ13" i="19"/>
  <c r="AN12" i="19"/>
  <c r="AR11" i="19"/>
  <c r="AV10" i="19"/>
  <c r="Y19" i="19"/>
  <c r="AK14" i="19"/>
  <c r="AR19" i="19"/>
  <c r="AV11" i="19"/>
  <c r="BD18" i="19"/>
  <c r="AB17" i="19"/>
  <c r="AK16" i="19"/>
  <c r="AC14" i="19"/>
  <c r="AG13" i="19"/>
  <c r="AK12" i="19"/>
  <c r="AO11" i="19"/>
  <c r="AS10" i="19"/>
  <c r="AV9" i="19"/>
  <c r="X16" i="19"/>
  <c r="Y11" i="19"/>
  <c r="BE17" i="19"/>
  <c r="AS16" i="19"/>
  <c r="AR16" i="19"/>
  <c r="AJ8" i="19"/>
  <c r="AZ17" i="19"/>
  <c r="AZ10" i="19"/>
  <c r="AO19" i="19"/>
  <c r="AW17" i="19"/>
  <c r="X15" i="19"/>
  <c r="AW9" i="19"/>
  <c r="BD7" i="19"/>
  <c r="AV15" i="19"/>
  <c r="AN19" i="19"/>
  <c r="BA18" i="19"/>
  <c r="AF18" i="19"/>
  <c r="AV17" i="19"/>
  <c r="Y17" i="19"/>
  <c r="AJ16" i="19"/>
  <c r="BD14" i="19"/>
  <c r="AB14" i="19"/>
  <c r="AF13" i="19"/>
  <c r="AJ12" i="19"/>
  <c r="AN11" i="19"/>
  <c r="AR10" i="19"/>
  <c r="AV7" i="19"/>
  <c r="BE11" i="19"/>
  <c r="AJ17" i="19"/>
  <c r="BD15" i="19"/>
  <c r="AW11" i="19"/>
  <c r="AK18" i="19"/>
  <c r="AN13" i="19"/>
  <c r="AJ18" i="19"/>
  <c r="X17" i="19"/>
  <c r="AR15" i="19"/>
  <c r="X14" i="19"/>
  <c r="AB13" i="19"/>
  <c r="AF12" i="19"/>
  <c r="AJ11" i="19"/>
  <c r="AN10" i="19"/>
  <c r="AN9" i="19"/>
  <c r="AZ8" i="19"/>
  <c r="AV19" i="19"/>
  <c r="AO13" i="19"/>
  <c r="AF17" i="19"/>
  <c r="AR12" i="19"/>
  <c r="AW15" i="19"/>
  <c r="BE19" i="19"/>
  <c r="AJ19" i="19"/>
  <c r="AZ18" i="19"/>
  <c r="AC18" i="19"/>
  <c r="AR17" i="19"/>
  <c r="AF16" i="19"/>
  <c r="BA14" i="19"/>
  <c r="AW13" i="19"/>
  <c r="AB19" i="19"/>
  <c r="AN18" i="19"/>
  <c r="BA10" i="19"/>
  <c r="AJ14" i="19"/>
  <c r="AN16" i="19"/>
  <c r="AZ14" i="19"/>
  <c r="AC12" i="19"/>
  <c r="AF9" i="19"/>
  <c r="BD19" i="19"/>
  <c r="AB18" i="19"/>
  <c r="AC16" i="19"/>
  <c r="AZ13" i="19"/>
  <c r="BD12" i="19"/>
  <c r="X12" i="19"/>
  <c r="AB11" i="19"/>
  <c r="AF10" i="19"/>
  <c r="X9" i="19"/>
  <c r="AC10" i="19"/>
  <c r="AV16" i="19"/>
  <c r="AG17" i="19"/>
  <c r="AB15" i="19"/>
  <c r="BE9" i="19"/>
  <c r="AZ15" i="19"/>
  <c r="BD9" i="19"/>
  <c r="BD16" i="19"/>
  <c r="AO15" i="19"/>
  <c r="BE13" i="19"/>
  <c r="Y13" i="19"/>
  <c r="AG11" i="19"/>
  <c r="AK10" i="19"/>
  <c r="AG19" i="19"/>
  <c r="AV18" i="19"/>
  <c r="AO17" i="19"/>
  <c r="AN15" i="19"/>
  <c r="BD13" i="19"/>
  <c r="X13" i="19"/>
  <c r="AB12" i="19"/>
  <c r="AF11" i="19"/>
  <c r="AJ10" i="19"/>
  <c r="BA16" i="19"/>
  <c r="AB16" i="19"/>
  <c r="AV14" i="19"/>
  <c r="AZ19" i="19"/>
  <c r="AF19" i="19"/>
  <c r="AS18" i="19"/>
  <c r="X18" i="19"/>
  <c r="AN17" i="19"/>
  <c r="AZ16" i="19"/>
  <c r="AJ15" i="19"/>
  <c r="AO9" i="19"/>
  <c r="AG9" i="19"/>
  <c r="Y9" i="19"/>
  <c r="BA8" i="19"/>
  <c r="AS8" i="19"/>
  <c r="AK8" i="19"/>
  <c r="AC8" i="19"/>
  <c r="BE7" i="19"/>
  <c r="AW7" i="19"/>
  <c r="AO7" i="19"/>
  <c r="AG7" i="19"/>
  <c r="Y7" i="19"/>
  <c r="BA6" i="19"/>
  <c r="AS6" i="19"/>
  <c r="AK6" i="19"/>
  <c r="AC6" i="19"/>
  <c r="AN7" i="19"/>
  <c r="AF7" i="19"/>
  <c r="X7" i="19"/>
  <c r="AZ6" i="19"/>
  <c r="AR6" i="19"/>
  <c r="AJ6" i="19"/>
  <c r="AB6" i="19"/>
  <c r="W19" i="19"/>
  <c r="BC17" i="19"/>
  <c r="AY16" i="19"/>
  <c r="BC15" i="19"/>
  <c r="W15" i="19"/>
  <c r="AQ14" i="19"/>
  <c r="AI14" i="19"/>
  <c r="AA14" i="19"/>
  <c r="BC13" i="19"/>
  <c r="AU13" i="19"/>
  <c r="AM13" i="19"/>
  <c r="AE13" i="19"/>
  <c r="AY12" i="19"/>
  <c r="AQ12" i="19"/>
  <c r="AI12" i="19"/>
  <c r="AA12" i="19"/>
  <c r="BC11" i="19"/>
  <c r="AU11" i="19"/>
  <c r="AM11" i="19"/>
  <c r="AE11" i="19"/>
  <c r="W11" i="19"/>
  <c r="AY10" i="19"/>
  <c r="AQ10" i="19"/>
  <c r="AI10" i="19"/>
  <c r="AA10" i="19"/>
  <c r="BC9" i="19"/>
  <c r="AU9" i="19"/>
  <c r="AM9" i="19"/>
  <c r="AE9" i="19"/>
  <c r="W9" i="19"/>
  <c r="AY8" i="19"/>
  <c r="AQ8" i="19"/>
  <c r="AI8" i="19"/>
  <c r="AA8" i="19"/>
  <c r="BC7" i="19"/>
  <c r="AU7" i="19"/>
  <c r="AM7" i="19"/>
  <c r="AE7" i="19"/>
  <c r="W7" i="19"/>
  <c r="AY6" i="19"/>
  <c r="AQ6" i="19"/>
  <c r="AI6" i="19"/>
  <c r="AA6" i="19"/>
  <c r="AU19" i="19"/>
  <c r="AY18" i="19"/>
  <c r="AU17" i="19"/>
  <c r="AQ16" i="19"/>
  <c r="AA16" i="19"/>
  <c r="AM15" i="19"/>
  <c r="AY14" i="19"/>
  <c r="W13" i="19"/>
  <c r="AB8" i="19"/>
  <c r="BC19" i="19"/>
  <c r="AM19" i="19"/>
  <c r="AQ18" i="19"/>
  <c r="AA18" i="19"/>
  <c r="AM17" i="19"/>
  <c r="W17" i="19"/>
  <c r="AI16" i="19"/>
  <c r="AE15" i="19"/>
  <c r="BB19" i="19"/>
  <c r="AL19" i="19"/>
  <c r="AD19" i="19"/>
  <c r="V19" i="19"/>
  <c r="AX18" i="19"/>
  <c r="AP18" i="19"/>
  <c r="AH18" i="19"/>
  <c r="Z18" i="19"/>
  <c r="AT17" i="19"/>
  <c r="AL17" i="19"/>
  <c r="AD17" i="19"/>
  <c r="V17" i="19"/>
  <c r="AX16" i="19"/>
  <c r="AP16" i="19"/>
  <c r="AH16" i="19"/>
  <c r="Z16" i="19"/>
  <c r="BB15" i="19"/>
  <c r="AT15" i="19"/>
  <c r="AL15" i="19"/>
  <c r="AD15" i="19"/>
  <c r="V15" i="19"/>
  <c r="AX14" i="19"/>
  <c r="AP14" i="19"/>
  <c r="AH14" i="19"/>
  <c r="Z14" i="19"/>
  <c r="BB13" i="19"/>
  <c r="AT13" i="19"/>
  <c r="AL13" i="19"/>
  <c r="AD13" i="19"/>
  <c r="V13" i="19"/>
  <c r="AX12" i="19"/>
  <c r="AP12" i="19"/>
  <c r="AH12" i="19"/>
  <c r="Z12" i="19"/>
  <c r="BB11" i="19"/>
  <c r="AT11" i="19"/>
  <c r="AL11" i="19"/>
  <c r="AD11" i="19"/>
  <c r="V11" i="19"/>
  <c r="AX10" i="19"/>
  <c r="AP10" i="19"/>
  <c r="AH10" i="19"/>
  <c r="Z10" i="19"/>
  <c r="BB9" i="19"/>
  <c r="AT9" i="19"/>
  <c r="AL9" i="19"/>
  <c r="AD9" i="19"/>
  <c r="V9" i="19"/>
  <c r="AX8" i="19"/>
  <c r="AP8" i="19"/>
  <c r="AH8" i="19"/>
  <c r="Z8" i="19"/>
  <c r="BB7" i="19"/>
  <c r="AT7" i="19"/>
  <c r="AL7" i="19"/>
  <c r="AD7" i="19"/>
  <c r="V7" i="19"/>
  <c r="AX6" i="19"/>
  <c r="AP6" i="19"/>
  <c r="AH6" i="19"/>
  <c r="Z6" i="19"/>
  <c r="AE19" i="19"/>
  <c r="AI18" i="19"/>
  <c r="AE17" i="19"/>
  <c r="AU15" i="19"/>
  <c r="AT19" i="19"/>
  <c r="BB17" i="19"/>
  <c r="BA19" i="19"/>
  <c r="AS19" i="19"/>
  <c r="AK19" i="19"/>
  <c r="AC19" i="19"/>
  <c r="BE18" i="19"/>
  <c r="AW18" i="19"/>
  <c r="AO18" i="19"/>
  <c r="AG18" i="19"/>
  <c r="Y18" i="19"/>
  <c r="BA17" i="19"/>
  <c r="AS17" i="19"/>
  <c r="AK17" i="19"/>
  <c r="AC17" i="19"/>
  <c r="BE16" i="19"/>
  <c r="AW16" i="19"/>
  <c r="AO16" i="19"/>
  <c r="AG16" i="19"/>
  <c r="Y16" i="19"/>
  <c r="BA15" i="19"/>
  <c r="AS15" i="19"/>
  <c r="AK15" i="19"/>
  <c r="AC15" i="19"/>
  <c r="BE14" i="19"/>
  <c r="AW14" i="19"/>
  <c r="AO14" i="19"/>
  <c r="AG14" i="19"/>
  <c r="Y14" i="19"/>
  <c r="BA13" i="19"/>
  <c r="AS13" i="19"/>
  <c r="AK13" i="19"/>
  <c r="AC13" i="19"/>
  <c r="BE12" i="19"/>
  <c r="AW12" i="19"/>
  <c r="AO12" i="19"/>
  <c r="AG12" i="19"/>
  <c r="Y12" i="19"/>
  <c r="BA11" i="19"/>
  <c r="AS11" i="19"/>
  <c r="AK11" i="19"/>
  <c r="AC11" i="19"/>
  <c r="BE10" i="19"/>
  <c r="AW10" i="19"/>
  <c r="AO10" i="19"/>
  <c r="AG10" i="19"/>
  <c r="Y10" i="19"/>
  <c r="BA9" i="19"/>
  <c r="AS9" i="19"/>
  <c r="AK9" i="19"/>
  <c r="AC9" i="19"/>
  <c r="BE8" i="19"/>
  <c r="AW8" i="19"/>
  <c r="AO8" i="19"/>
  <c r="AG8" i="19"/>
  <c r="Y8" i="19"/>
  <c r="BA7" i="19"/>
  <c r="AS7" i="19"/>
  <c r="AK7" i="19"/>
  <c r="AC7" i="19"/>
  <c r="BE6" i="19"/>
  <c r="AW6" i="19"/>
  <c r="AO6" i="19"/>
  <c r="AG6" i="19"/>
  <c r="Y6" i="19"/>
  <c r="AN8" i="19"/>
  <c r="AZ7" i="19"/>
  <c r="AB7" i="19"/>
  <c r="BD6" i="19"/>
  <c r="AV6" i="19"/>
  <c r="AN6" i="19"/>
  <c r="AF6" i="19"/>
  <c r="X6" i="19"/>
  <c r="AJ9" i="19"/>
  <c r="X8" i="19"/>
  <c r="AI19" i="19"/>
  <c r="W18" i="19"/>
  <c r="AU16" i="19"/>
  <c r="W16" i="19"/>
  <c r="AQ15" i="19"/>
  <c r="AA15" i="19"/>
  <c r="BC14" i="19"/>
  <c r="AU14" i="19"/>
  <c r="AM14" i="19"/>
  <c r="AE14" i="19"/>
  <c r="W14" i="19"/>
  <c r="AY13" i="19"/>
  <c r="AQ13" i="19"/>
  <c r="AI13" i="19"/>
  <c r="AA13" i="19"/>
  <c r="BC12" i="19"/>
  <c r="AU12" i="19"/>
  <c r="AM12" i="19"/>
  <c r="AE12" i="19"/>
  <c r="W12" i="19"/>
  <c r="AY11" i="19"/>
  <c r="AQ11" i="19"/>
  <c r="AI11" i="19"/>
  <c r="AA11" i="19"/>
  <c r="BC10" i="19"/>
  <c r="AU10" i="19"/>
  <c r="AM10" i="19"/>
  <c r="AE10" i="19"/>
  <c r="W10" i="19"/>
  <c r="AY9" i="19"/>
  <c r="AQ9" i="19"/>
  <c r="AI9" i="19"/>
  <c r="AA9" i="19"/>
  <c r="BC8" i="19"/>
  <c r="AU8" i="19"/>
  <c r="AM8" i="19"/>
  <c r="AE8" i="19"/>
  <c r="W8" i="19"/>
  <c r="AY7" i="19"/>
  <c r="AQ7" i="19"/>
  <c r="AI7" i="19"/>
  <c r="AA7" i="19"/>
  <c r="BC6" i="19"/>
  <c r="AU6" i="19"/>
  <c r="AM6" i="19"/>
  <c r="AE6" i="19"/>
  <c r="W6" i="19"/>
  <c r="AZ9" i="19"/>
  <c r="AB9" i="19"/>
  <c r="AV8" i="19"/>
  <c r="AF8" i="19"/>
  <c r="AR7" i="19"/>
  <c r="AQ19" i="19"/>
  <c r="BC18" i="19"/>
  <c r="AM18" i="19"/>
  <c r="AY17" i="19"/>
  <c r="AA17" i="19"/>
  <c r="AE16" i="19"/>
  <c r="AI15" i="19"/>
  <c r="AR9" i="19"/>
  <c r="BD8" i="19"/>
  <c r="AJ7" i="19"/>
  <c r="AY19" i="19"/>
  <c r="AA19" i="19"/>
  <c r="AU18" i="19"/>
  <c r="AE18" i="19"/>
  <c r="AQ17" i="19"/>
  <c r="AI17" i="19"/>
  <c r="BC16" i="19"/>
  <c r="AM16" i="19"/>
  <c r="AY15" i="19"/>
  <c r="AX19" i="19"/>
  <c r="AP19" i="19"/>
  <c r="AH19" i="19"/>
  <c r="Z19" i="19"/>
  <c r="BB18" i="19"/>
  <c r="AT18" i="19"/>
  <c r="AL18" i="19"/>
  <c r="AD18" i="19"/>
  <c r="V18" i="19"/>
  <c r="AX17" i="19"/>
  <c r="AP17" i="19"/>
  <c r="AH17" i="19"/>
  <c r="Z17" i="19"/>
  <c r="BB16" i="19"/>
  <c r="AT16" i="19"/>
  <c r="AL16" i="19"/>
  <c r="AD16" i="19"/>
  <c r="V16" i="19"/>
  <c r="AX15" i="19"/>
  <c r="AP15" i="19"/>
  <c r="AH15" i="19"/>
  <c r="Z15" i="19"/>
  <c r="BB14" i="19"/>
  <c r="AT14" i="19"/>
  <c r="AL14" i="19"/>
  <c r="AD14" i="19"/>
  <c r="V14" i="19"/>
  <c r="AX13" i="19"/>
  <c r="AP13" i="19"/>
  <c r="AH13" i="19"/>
  <c r="Z13" i="19"/>
  <c r="BB12" i="19"/>
  <c r="AT12" i="19"/>
  <c r="AL12" i="19"/>
  <c r="AD12" i="19"/>
  <c r="V12" i="19"/>
  <c r="AX11" i="19"/>
  <c r="AP11" i="19"/>
  <c r="AH11" i="19"/>
  <c r="Z11" i="19"/>
  <c r="BB10" i="19"/>
  <c r="AT10" i="19"/>
  <c r="AL10" i="19"/>
  <c r="AD10" i="19"/>
  <c r="V10" i="19"/>
  <c r="AX9" i="19"/>
  <c r="AP9" i="19"/>
  <c r="AH9" i="19"/>
  <c r="Z9" i="19"/>
  <c r="BB8" i="19"/>
  <c r="AT8" i="19"/>
  <c r="AL8" i="19"/>
  <c r="AD8" i="19"/>
  <c r="V8" i="19"/>
  <c r="AX7" i="19"/>
  <c r="AP7" i="19"/>
  <c r="AH7" i="19"/>
  <c r="Z7" i="19"/>
  <c r="BB6" i="19"/>
  <c r="AT6" i="19"/>
  <c r="AL6" i="19"/>
  <c r="AD6" i="19"/>
  <c r="V6" i="19"/>
  <c r="U19" i="19"/>
  <c r="U14" i="19"/>
  <c r="U10" i="19"/>
  <c r="U13" i="19"/>
  <c r="U12" i="19"/>
  <c r="U11" i="19"/>
  <c r="U18" i="19"/>
  <c r="U17" i="19"/>
  <c r="U9" i="19"/>
  <c r="U16" i="19"/>
  <c r="U8" i="19"/>
  <c r="U15" i="19"/>
  <c r="U7" i="19"/>
  <c r="U6" i="19"/>
  <c r="D19" i="19"/>
  <c r="P17" i="19"/>
  <c r="J16" i="19"/>
  <c r="B16" i="19"/>
  <c r="D15" i="19"/>
  <c r="F14" i="19"/>
  <c r="R12" i="19"/>
  <c r="B12" i="19"/>
  <c r="D11" i="19"/>
  <c r="H9" i="19"/>
  <c r="Q19" i="19"/>
  <c r="I19" i="19"/>
  <c r="S18" i="19"/>
  <c r="K18" i="19"/>
  <c r="C18" i="19"/>
  <c r="M17" i="19"/>
  <c r="E17" i="19"/>
  <c r="O16" i="19"/>
  <c r="G16" i="19"/>
  <c r="Q15" i="19"/>
  <c r="I15" i="19"/>
  <c r="S14" i="19"/>
  <c r="K14" i="19"/>
  <c r="C14" i="19"/>
  <c r="M13" i="19"/>
  <c r="E13" i="19"/>
  <c r="O12" i="19"/>
  <c r="G12" i="19"/>
  <c r="Q11" i="19"/>
  <c r="I11" i="19"/>
  <c r="S10" i="19"/>
  <c r="K10" i="19"/>
  <c r="C10" i="19"/>
  <c r="M9" i="19"/>
  <c r="E9" i="19"/>
  <c r="O8" i="19"/>
  <c r="G8" i="19"/>
  <c r="Q7" i="19"/>
  <c r="I7" i="19"/>
  <c r="P15" i="19"/>
  <c r="H7" i="19"/>
  <c r="Q18" i="19"/>
  <c r="R18" i="19"/>
  <c r="L17" i="19"/>
  <c r="F16" i="19"/>
  <c r="R14" i="19"/>
  <c r="D13" i="19"/>
  <c r="P11" i="19"/>
  <c r="J10" i="19"/>
  <c r="B10" i="19"/>
  <c r="D9" i="19"/>
  <c r="F8" i="19"/>
  <c r="O19" i="19"/>
  <c r="S17" i="19"/>
  <c r="K17" i="19"/>
  <c r="C17" i="19"/>
  <c r="M16" i="19"/>
  <c r="E16" i="19"/>
  <c r="O15" i="19"/>
  <c r="G15" i="19"/>
  <c r="Q14" i="19"/>
  <c r="I14" i="19"/>
  <c r="S13" i="19"/>
  <c r="K13" i="19"/>
  <c r="C13" i="19"/>
  <c r="M12" i="19"/>
  <c r="E12" i="19"/>
  <c r="O11" i="19"/>
  <c r="G11" i="19"/>
  <c r="Q10" i="19"/>
  <c r="I10" i="19"/>
  <c r="S9" i="19"/>
  <c r="K9" i="19"/>
  <c r="C9" i="19"/>
  <c r="M8" i="19"/>
  <c r="E8" i="19"/>
  <c r="O7" i="19"/>
  <c r="G7" i="19"/>
  <c r="P19" i="19"/>
  <c r="B14" i="19"/>
  <c r="P18" i="19"/>
  <c r="L16" i="19"/>
  <c r="P14" i="19"/>
  <c r="B13" i="19"/>
  <c r="F11" i="19"/>
  <c r="J9" i="19"/>
  <c r="D8" i="19"/>
  <c r="F7" i="19"/>
  <c r="J18" i="19"/>
  <c r="D17" i="19"/>
  <c r="H15" i="19"/>
  <c r="L13" i="19"/>
  <c r="F12" i="19"/>
  <c r="R10" i="19"/>
  <c r="L9" i="19"/>
  <c r="P7" i="19"/>
  <c r="I18" i="19"/>
  <c r="N19" i="19"/>
  <c r="H18" i="19"/>
  <c r="J17" i="19"/>
  <c r="B17" i="19"/>
  <c r="D16" i="19"/>
  <c r="N15" i="19"/>
  <c r="F15" i="19"/>
  <c r="H14" i="19"/>
  <c r="R13" i="19"/>
  <c r="J13" i="19"/>
  <c r="L12" i="19"/>
  <c r="D12" i="19"/>
  <c r="N11" i="19"/>
  <c r="P10" i="19"/>
  <c r="H10" i="19"/>
  <c r="R9" i="19"/>
  <c r="B9" i="19"/>
  <c r="L8" i="19"/>
  <c r="N7" i="19"/>
  <c r="H19" i="19"/>
  <c r="B18" i="19"/>
  <c r="N16" i="19"/>
  <c r="J14" i="19"/>
  <c r="N12" i="19"/>
  <c r="H11" i="19"/>
  <c r="N8" i="19"/>
  <c r="G19" i="19"/>
  <c r="F19" i="19"/>
  <c r="R17" i="19"/>
  <c r="M19" i="19"/>
  <c r="E19" i="19"/>
  <c r="O18" i="19"/>
  <c r="G18" i="19"/>
  <c r="Q17" i="19"/>
  <c r="I17" i="19"/>
  <c r="S16" i="19"/>
  <c r="K16" i="19"/>
  <c r="C16" i="19"/>
  <c r="M15" i="19"/>
  <c r="E15" i="19"/>
  <c r="O14" i="19"/>
  <c r="G14" i="19"/>
  <c r="Q13" i="19"/>
  <c r="I13" i="19"/>
  <c r="S12" i="19"/>
  <c r="K12" i="19"/>
  <c r="C12" i="19"/>
  <c r="M11" i="19"/>
  <c r="E11" i="19"/>
  <c r="O10" i="19"/>
  <c r="G10" i="19"/>
  <c r="Q9" i="19"/>
  <c r="I9" i="19"/>
  <c r="S8" i="19"/>
  <c r="K8" i="19"/>
  <c r="C8" i="19"/>
  <c r="M7" i="19"/>
  <c r="E7" i="19"/>
  <c r="F10" i="19"/>
  <c r="D7" i="19"/>
  <c r="H17" i="19"/>
  <c r="N18" i="19"/>
  <c r="H13" i="19"/>
  <c r="S19" i="19"/>
  <c r="G17" i="19"/>
  <c r="M14" i="19"/>
  <c r="K11" i="19"/>
  <c r="C7" i="19"/>
  <c r="L19" i="19"/>
  <c r="F18" i="19"/>
  <c r="R16" i="19"/>
  <c r="L15" i="19"/>
  <c r="N14" i="19"/>
  <c r="P13" i="19"/>
  <c r="J12" i="19"/>
  <c r="L11" i="19"/>
  <c r="N10" i="19"/>
  <c r="P9" i="19"/>
  <c r="R8" i="19"/>
  <c r="J8" i="19"/>
  <c r="B8" i="19"/>
  <c r="L7" i="19"/>
  <c r="K19" i="19"/>
  <c r="C19" i="19"/>
  <c r="M18" i="19"/>
  <c r="E18" i="19"/>
  <c r="O17" i="19"/>
  <c r="Q16" i="19"/>
  <c r="I16" i="19"/>
  <c r="S15" i="19"/>
  <c r="K15" i="19"/>
  <c r="C15" i="19"/>
  <c r="E14" i="19"/>
  <c r="O13" i="19"/>
  <c r="G13" i="19"/>
  <c r="Q12" i="19"/>
  <c r="I12" i="19"/>
  <c r="S11" i="19"/>
  <c r="C11" i="19"/>
  <c r="M10" i="19"/>
  <c r="E10" i="19"/>
  <c r="O9" i="19"/>
  <c r="G9" i="19"/>
  <c r="Q8" i="19"/>
  <c r="I8" i="19"/>
  <c r="S7" i="19"/>
  <c r="K7" i="19"/>
  <c r="R19" i="19"/>
  <c r="J19" i="19"/>
  <c r="B19" i="19"/>
  <c r="L18" i="19"/>
  <c r="D18" i="19"/>
  <c r="N17" i="19"/>
  <c r="F17" i="19"/>
  <c r="P16" i="19"/>
  <c r="H16" i="19"/>
  <c r="R15" i="19"/>
  <c r="J15" i="19"/>
  <c r="B15" i="19"/>
  <c r="L14" i="19"/>
  <c r="D14" i="19"/>
  <c r="N13" i="19"/>
  <c r="F13" i="19"/>
  <c r="P12" i="19"/>
  <c r="H12" i="19"/>
  <c r="R11" i="19"/>
  <c r="J11" i="19"/>
  <c r="B11" i="19"/>
  <c r="L10" i="19"/>
  <c r="D10" i="19"/>
  <c r="N9" i="19"/>
  <c r="F9" i="19"/>
  <c r="P8" i="19"/>
  <c r="H8" i="19"/>
  <c r="R7" i="19"/>
  <c r="J7" i="19"/>
  <c r="B7" i="19"/>
  <c r="F6" i="19"/>
  <c r="J6" i="19"/>
  <c r="H6" i="19"/>
  <c r="D6" i="19"/>
  <c r="R6" i="19"/>
  <c r="I6" i="19"/>
  <c r="G6" i="19"/>
  <c r="N6" i="19"/>
  <c r="M6" i="19"/>
  <c r="E6" i="19"/>
  <c r="L6" i="19"/>
  <c r="Q6" i="19"/>
  <c r="P6" i="19"/>
  <c r="O6" i="19"/>
  <c r="S6" i="19"/>
  <c r="K6" i="19"/>
  <c r="C6" i="19"/>
  <c r="B6" i="19"/>
  <c r="T12" i="19" a="1"/>
  <c r="T19" i="19" a="1"/>
  <c r="T14" i="19" a="1"/>
  <c r="T16" i="19" a="1"/>
  <c r="T18" i="19" a="1"/>
  <c r="T13" i="19" a="1"/>
  <c r="T17" i="19" a="1"/>
  <c r="T15" i="19" a="1"/>
  <c r="T6" i="19" a="1"/>
  <c r="T8" i="19" a="1"/>
  <c r="T9" i="19" a="1"/>
  <c r="T10" i="19" a="1"/>
  <c r="T7" i="19" a="1"/>
  <c r="T11" i="19" a="1"/>
  <c r="T15" i="19" l="1"/>
  <c r="T17" i="19"/>
  <c r="T13" i="19"/>
  <c r="T18" i="19"/>
  <c r="T16" i="19"/>
  <c r="T14" i="19"/>
  <c r="T19" i="19"/>
  <c r="T12" i="19"/>
  <c r="T7" i="19"/>
  <c r="T10" i="19"/>
  <c r="T9" i="19"/>
  <c r="T8" i="19"/>
  <c r="T6" i="19"/>
  <c r="T11"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391F5E-9AE4-4A2A-B345-61736232DF47}" keepAlive="1" name="Query - 2023" description="Connection to the '2023' query in the workbook." type="5" refreshedVersion="8" background="1" saveData="1">
    <dbPr connection="Provider=Microsoft.Mashup.OleDb.1;Data Source=$Workbook$;Location=2023;Extended Properties=&quot;&quot;" command="SELECT * FROM [2023]"/>
  </connection>
  <connection id="2" xr16:uid="{9FC7D0E7-2542-4ECD-AE28-252CA23FD2A7}" name="Query - 2024" description="Connection to the '2024' query in the workbook." type="100" refreshedVersion="8" minRefreshableVersion="5">
    <extLst>
      <ext xmlns:x15="http://schemas.microsoft.com/office/spreadsheetml/2010/11/main" uri="{DE250136-89BD-433C-8126-D09CA5730AF9}">
        <x15:connection id="06683119-4aa3-4f79-9dff-88fc3def9796">
          <x15:oledbPr connection="Provider=Microsoft.Mashup.OleDb.1;Data Source=$Workbook$;Location=2024;Extended Properties=&quot;&quot;">
            <x15:dbTables>
              <x15:dbTable name="2024"/>
            </x15:dbTables>
          </x15:oledbPr>
        </x15:connection>
      </ext>
    </extLst>
  </connection>
  <connection id="3" xr16:uid="{AF3B26FF-6512-4DBC-AAFC-AA63AB428245}" keepAlive="1" name="Query - Comparison" description="Connection to the 'Comparison' query in the workbook." type="5" refreshedVersion="8" background="1" saveData="1">
    <dbPr connection="Provider=Microsoft.Mashup.OleDb.1;Data Source=$Workbook$;Location=Comparison;Extended Properties=&quot;&quot;" command="SELECT * FROM [Comparison]"/>
  </connection>
  <connection id="4" xr16:uid="{F6040C37-16DB-4151-99F4-1A51B2CAF19D}" keepAlive="1" name="Query - Territories" description="Connection to the 'Territories' query in the workbook." type="5" refreshedVersion="8" background="1" saveData="1">
    <dbPr connection="Provider=Microsoft.Mashup.OleDb.1;Data Source=$Workbook$;Location=Territories;Extended Properties=&quot;&quot;" command="SELECT * FROM [Territories]"/>
  </connection>
  <connection id="5" xr16:uid="{2042D904-F91B-4A66-A1EB-6B9B01756A5F}" keepAlive="1" name="Query - TotalHomelessVA" description="Connection to the 'TotalHomelessVA' query in the workbook." type="5" refreshedVersion="8" background="1" saveData="1">
    <dbPr connection="Provider=Microsoft.Mashup.OleDb.1;Data Source=$Workbook$;Location=TotalHomelessVA;Extended Properties=&quot;&quot;" command="SELECT * FROM [TotalHomelessVA]"/>
  </connection>
  <connection id="6" xr16:uid="{A436DC12-9754-4C83-BD60-BB7A6107FF40}" keepAlive="1" name="Query - TotalHomelessVA Transpose" description="Connection to the 'TotalHomelessVA Transpose' query in the workbook." type="5" refreshedVersion="8" background="1" saveData="1">
    <dbPr connection="Provider=Microsoft.Mashup.OleDb.1;Data Source=$Workbook$;Location=&quot;TotalHomelessVA Transpose&quot;;Extended Properties=&quot;&quot;" command="SELECT * FROM [TotalHomelessVA Transpose]"/>
  </connection>
  <connection id="7" xr16:uid="{3D0FE42C-8885-4F49-A705-CA028597AB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<sst xmlns="http://schemas.openxmlformats.org/spreadsheetml/2006/main" count="1594" uniqueCount="206">
  <si>
    <t>state</t>
  </si>
  <si>
    <t>Change in Veteran Homelessness, 2023-2024</t>
  </si>
  <si>
    <t>Change in Veteran Homelessness, 2022-2024</t>
  </si>
  <si>
    <t>Change in Veteran Homelessness, 2021-2024</t>
  </si>
  <si>
    <t>Change in Veteran Homelessness, 2020-2024</t>
  </si>
  <si>
    <t>Change in Veteran Homelessness, 2019-2024</t>
  </si>
  <si>
    <t>Change in Veteran Homelessness, 2018-2024</t>
  </si>
  <si>
    <t>Change in Veteran Homelessness, 2017-2024</t>
  </si>
  <si>
    <t>Change in Veteran Homelessness, 2016-2024</t>
  </si>
  <si>
    <t>Change in Veteran Homelessness, 2015-2024</t>
  </si>
  <si>
    <t>Change in Veteran Homelessness, 2014-2024</t>
  </si>
  <si>
    <t>Change in Veteran Homelessness, 2013-2024</t>
  </si>
  <si>
    <t>Change in Veteran Homelessness, 2012-2024</t>
  </si>
  <si>
    <t>Change in Veteran Homelessness, 2011-2024</t>
  </si>
  <si>
    <t>AK</t>
  </si>
  <si>
    <t>AL</t>
  </si>
  <si>
    <t>AR</t>
  </si>
  <si>
    <t>AS</t>
  </si>
  <si>
    <t>.</t>
  </si>
  <si>
    <t>AZ</t>
  </si>
  <si>
    <t>CA</t>
  </si>
  <si>
    <t>CO</t>
  </si>
  <si>
    <t>CT</t>
  </si>
  <si>
    <t>DC</t>
  </si>
  <si>
    <t>DE</t>
  </si>
  <si>
    <t>FL</t>
  </si>
  <si>
    <t>GA</t>
  </si>
  <si>
    <t>GU</t>
  </si>
  <si>
    <t>HI</t>
  </si>
  <si>
    <t>IA</t>
  </si>
  <si>
    <t>ID</t>
  </si>
  <si>
    <t>IL</t>
  </si>
  <si>
    <t>IN</t>
  </si>
  <si>
    <t>KS</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</si>
  <si>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</si>
  <si>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</si>
  <si>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</si>
  <si>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</si>
  <si>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</si>
  <si>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</si>
  <si>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</si>
  <si>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</si>
  <si>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</si>
  <si>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</si>
  <si>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</si>
  <si>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</si>
  <si>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</si>
  <si>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</si>
  <si>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</si>
  <si>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</si>
  <si>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</si>
  <si>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</si>
  <si>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</si>
  <si>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</si>
  <si>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</si>
  <si>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</si>
  <si>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</si>
  <si>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</si>
  <si>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</si>
  <si>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</si>
  <si>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</si>
  <si>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</si>
  <si>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TX</t>
  </si>
  <si>
    <t>UT</t>
  </si>
  <si>
    <t>VA</t>
  </si>
  <si>
    <t>VI</t>
  </si>
  <si>
    <t>VT</t>
  </si>
  <si>
    <t>WA</t>
  </si>
  <si>
    <t>WI</t>
  </si>
  <si>
    <t>WV</t>
  </si>
  <si>
    <t>WY</t>
  </si>
  <si>
    <t>Total</t>
  </si>
  <si>
    <t>State</t>
  </si>
  <si>
    <t>Number of CoCs</t>
  </si>
  <si>
    <t>Homeless Veterans, 2024</t>
  </si>
  <si>
    <t>Sheltered ES Homeless Veterans, 2024</t>
  </si>
  <si>
    <t>Sheltered TH Homeless Veterans, 2024</t>
  </si>
  <si>
    <t>Sheltered SH Homeless Veterans, 2024</t>
  </si>
  <si>
    <t>Sheltered Total Homeless Veterans, 2024</t>
  </si>
  <si>
    <t>Unsheltered Homeless Veterans, 2024</t>
  </si>
  <si>
    <t>Homeless Veterans, 2023</t>
  </si>
  <si>
    <t>Sheltered ES Homeless Veterans, 2023</t>
  </si>
  <si>
    <t>Sheltered TH Homeless Veterans, 2023</t>
  </si>
  <si>
    <t>Sheltered SH Homeless Veterans, 2023</t>
  </si>
  <si>
    <t>Sheltered Total Homeless Veterans, 2023</t>
  </si>
  <si>
    <t>Unsheltered Homeless Veterans, 2023</t>
  </si>
  <si>
    <t>Homeless Veterans, 2022</t>
  </si>
  <si>
    <t>Sheltered ES Homeless Veterans, 2022</t>
  </si>
  <si>
    <t>Sheltered TH Homeless Veterans, 2022</t>
  </si>
  <si>
    <t>Sheltered SH Homeless Veterans, 2022</t>
  </si>
  <si>
    <t>Sheltered Total Homeless Veterans, 2022</t>
  </si>
  <si>
    <t>Unsheltered Homeless Veterans, 2022</t>
  </si>
  <si>
    <t>Homeless Veterans, 2021</t>
  </si>
  <si>
    <t>Sheltered ES Homeless Veterans, 2021</t>
  </si>
  <si>
    <t>Sheltered TH Homeless Veterans, 2021</t>
  </si>
  <si>
    <t>Sheltered SH Homeless Veterans, 2021</t>
  </si>
  <si>
    <t>Sheltered Total Homeless Veterans, 2021</t>
  </si>
  <si>
    <t>Unsheltered Homeless Veterans, 2021</t>
  </si>
  <si>
    <t>Homeless Veterans, 2020</t>
  </si>
  <si>
    <t>Sheltered ES Homeless Veterans, 2020</t>
  </si>
  <si>
    <t>Sheltered TH Homeless Veterans, 2020</t>
  </si>
  <si>
    <t>Sheltered SH Homeless Veterans, 2020</t>
  </si>
  <si>
    <t>Sheltered Total Homeless Veterans, 2020</t>
  </si>
  <si>
    <t>Unsheltered Homeless Veterans, 2020</t>
  </si>
  <si>
    <t>Homeless Veterans, 2019</t>
  </si>
  <si>
    <t>Sheltered ES Homeless Veterans, 2019</t>
  </si>
  <si>
    <t>Sheltered TH Homeless Veterans, 2019</t>
  </si>
  <si>
    <t>Sheltered SH Homeless Veterans, 2019</t>
  </si>
  <si>
    <t>Sheltered Total Homeless Veterans, 2019</t>
  </si>
  <si>
    <t>Unsheltered Homeless Veterans, 2019</t>
  </si>
  <si>
    <t>Homeless Veterans, 2018</t>
  </si>
  <si>
    <t>Sheltered ES Homeless Veterans, 2018</t>
  </si>
  <si>
    <t>Sheltered TH Homeless Veterans, 2018</t>
  </si>
  <si>
    <t>Sheltered SH Homeless Veterans, 2018</t>
  </si>
  <si>
    <t>Sheltered Total Homeless Veterans, 2018</t>
  </si>
  <si>
    <t>Unsheltered Homeless Veterans, 2018</t>
  </si>
  <si>
    <t>Homeless Veterans, 2017</t>
  </si>
  <si>
    <t>Sheltered ES Homeless Veterans, 2017</t>
  </si>
  <si>
    <t>Sheltered TH Homeless Veterans, 2017</t>
  </si>
  <si>
    <t>Sheltered SH Homeless Veterans, 2017</t>
  </si>
  <si>
    <t>Sheltered Total Homeless Veterans, 2017</t>
  </si>
  <si>
    <t>Unsheltered Homeless Veterans, 2017</t>
  </si>
  <si>
    <t>Homeless Veterans, 2016</t>
  </si>
  <si>
    <t>Sheltered ES Homeless Veterans, 2016</t>
  </si>
  <si>
    <t>Sheltered TH Homeless Veterans, 2016</t>
  </si>
  <si>
    <t>Sheltered SH Homeless Veterans, 2016</t>
  </si>
  <si>
    <t>Sheltered Total Homeless Veterans, 2016</t>
  </si>
  <si>
    <t>Unsheltered Homeless Veterans, 2016</t>
  </si>
  <si>
    <t>Homeless Veterans, 2015</t>
  </si>
  <si>
    <t>Sheltered ES Homeless Veterans, 2015</t>
  </si>
  <si>
    <t>Sheltered TH Homeless Veterans, 2015</t>
  </si>
  <si>
    <t>Sheltered SH Homeless Veterans, 2015</t>
  </si>
  <si>
    <t>Sheltered Total Homeless Veterans, 2015</t>
  </si>
  <si>
    <t>Unsheltered Homeless Veterans, 2015</t>
  </si>
  <si>
    <t>Homeless Veterans, 2014</t>
  </si>
  <si>
    <t>Sheltered ES Homeless Veterans, 2014</t>
  </si>
  <si>
    <t>Sheltered TH Homeless Veterans, 2014</t>
  </si>
  <si>
    <t>Sheltered SH Homeless Veterans, 2014</t>
  </si>
  <si>
    <t>Sheltered Total Homeless Veterans, 2014</t>
  </si>
  <si>
    <t>Unsheltered Homeless Veterans, 2014</t>
  </si>
  <si>
    <t>Homeless Veterans, 2013</t>
  </si>
  <si>
    <t>Sheltered Total Homeless Veterans, 2013</t>
  </si>
  <si>
    <t>Unsheltered Homeless Veterans, 2013</t>
  </si>
  <si>
    <t>Homeless Veterans, 2012</t>
  </si>
  <si>
    <t>Sheltered Total Homeless Veterans, 2012</t>
  </si>
  <si>
    <t>Unsheltered Homeless Veterans, 2012</t>
  </si>
  <si>
    <t>Homeless Veterans, 2011</t>
  </si>
  <si>
    <t>Sheltered Total Homeless Veterans, 2011</t>
  </si>
  <si>
    <t>Unsheltered Homeless Veterans, 2011</t>
  </si>
  <si>
    <t>KS*</t>
  </si>
  <si>
    <t xml:space="preserve">*There are a total of 385 CoCs that participated in the 2024 PIT Count. However, MO-604 is a single CoC that covers territory in both Missouri and Kansas. For the Point-In-Time Count, this CoC reports seperately for people served in Missouri and Kansas to allow for data to accurately be reported at the state level. Therefore an extra CoC has been added in the Kansas "Number of CoCs" field. This results in the sum of CoCs by state to be one more than the total number of CoCs contributing data to the AHAR Point-in-Time Count. </t>
  </si>
  <si>
    <t xml:space="preserve">*MO-604 is a single CoC that covers territory in both Missouri and Kansas. For the Point-In-Time Count, this CoC reports seperately for people served in Missouri and Kansas to allow for data to accurately be reported at the state level. Therefore an extra CoC has been added in the Kansas "Number of CoCs" field. This results in the sum of CoCs by state to be one more than the total number of CoCs contributing data to the AHAR Point-in-Time Count. </t>
  </si>
  <si>
    <t>State/Territory</t>
  </si>
  <si>
    <t>2024.Number of CoCs</t>
  </si>
  <si>
    <t>2024.Homeless Veterans, 2024</t>
  </si>
  <si>
    <t>Territories.Entity Name</t>
  </si>
  <si>
    <t>Category</t>
  </si>
  <si>
    <t>--</t>
  </si>
  <si>
    <t>American Samoa</t>
  </si>
  <si>
    <t>Territory</t>
  </si>
  <si>
    <t>District of Columbia</t>
  </si>
  <si>
    <t>Federal District</t>
  </si>
  <si>
    <t>Guam</t>
  </si>
  <si>
    <t>Northern Mariana Islands</t>
  </si>
  <si>
    <t>Puerto Rico</t>
  </si>
  <si>
    <t>US Virgin Islands</t>
  </si>
  <si>
    <t>Abbreviation</t>
  </si>
  <si>
    <t>Entity Name</t>
  </si>
  <si>
    <t>Year</t>
  </si>
  <si>
    <t>Row Labels</t>
  </si>
  <si>
    <t>Grand Total</t>
  </si>
  <si>
    <t>Sum of AL</t>
  </si>
  <si>
    <t>Sum of CA</t>
  </si>
  <si>
    <t>Sum of FL</t>
  </si>
  <si>
    <t>Name</t>
  </si>
  <si>
    <t>Value</t>
  </si>
  <si>
    <t>Jose</t>
  </si>
  <si>
    <t>Peter</t>
  </si>
  <si>
    <t>Mary</t>
  </si>
  <si>
    <t>States</t>
  </si>
  <si>
    <t>2011</t>
  </si>
  <si>
    <t>2012</t>
  </si>
  <si>
    <t>2013</t>
  </si>
  <si>
    <t>2014</t>
  </si>
  <si>
    <t>2015</t>
  </si>
  <si>
    <t>2016</t>
  </si>
  <si>
    <t>2017</t>
  </si>
  <si>
    <t>2018</t>
  </si>
  <si>
    <t>2019</t>
  </si>
  <si>
    <t>2020</t>
  </si>
  <si>
    <t>2021</t>
  </si>
  <si>
    <t>2022</t>
  </si>
  <si>
    <t>2023</t>
  </si>
  <si>
    <t>2024</t>
  </si>
  <si>
    <t>North East States</t>
  </si>
  <si>
    <t>Total Homeless VA Pop 2024</t>
  </si>
  <si>
    <t>Subregions</t>
  </si>
  <si>
    <t>New England</t>
  </si>
  <si>
    <t>Mid-Atlantic</t>
  </si>
  <si>
    <t>Country</t>
  </si>
  <si>
    <t>United States</t>
  </si>
  <si>
    <r>
      <t>Maine</t>
    </r>
    <r>
      <rPr>
        <sz val="11"/>
        <color rgb="FF000000"/>
        <rFont val="Arial"/>
        <family val="2"/>
      </rPr>
      <t>, </t>
    </r>
    <r>
      <rPr>
        <sz val="11"/>
        <color rgb="FF3366CC"/>
        <rFont val="Arial"/>
        <family val="2"/>
      </rPr>
      <t>New Hampshire</t>
    </r>
    <r>
      <rPr>
        <sz val="11"/>
        <color rgb="FF000000"/>
        <rFont val="Arial"/>
        <family val="2"/>
      </rPr>
      <t>, </t>
    </r>
    <r>
      <rPr>
        <sz val="11"/>
        <color rgb="FF3366CC"/>
        <rFont val="Arial"/>
        <family val="2"/>
      </rPr>
      <t>Vermont</t>
    </r>
    <r>
      <rPr>
        <sz val="11"/>
        <color rgb="FF000000"/>
        <rFont val="Arial"/>
        <family val="2"/>
      </rPr>
      <t>, </t>
    </r>
    <r>
      <rPr>
        <sz val="11"/>
        <color rgb="FF3366CC"/>
        <rFont val="Arial"/>
        <family val="2"/>
      </rPr>
      <t>Massachusetts</t>
    </r>
    <r>
      <rPr>
        <sz val="11"/>
        <color rgb="FF000000"/>
        <rFont val="Arial"/>
        <family val="2"/>
      </rPr>
      <t>, </t>
    </r>
    <r>
      <rPr>
        <sz val="11"/>
        <color rgb="FF3366CC"/>
        <rFont val="Arial"/>
        <family val="2"/>
      </rPr>
      <t>Rhode Island</t>
    </r>
    <r>
      <rPr>
        <sz val="11"/>
        <color rgb="FF000000"/>
        <rFont val="Arial"/>
        <family val="2"/>
      </rPr>
      <t>, </t>
    </r>
    <r>
      <rPr>
        <sz val="11"/>
        <color rgb="FF3366CC"/>
        <rFont val="Arial"/>
        <family val="2"/>
      </rPr>
      <t>Connecticut</t>
    </r>
    <r>
      <rPr>
        <sz val="11"/>
        <color rgb="FF000000"/>
        <rFont val="Arial"/>
        <family val="2"/>
      </rPr>
      <t>, </t>
    </r>
    <r>
      <rPr>
        <sz val="11"/>
        <color rgb="FF3366CC"/>
        <rFont val="Arial"/>
        <family val="2"/>
      </rPr>
      <t>New York</t>
    </r>
    <r>
      <rPr>
        <sz val="11"/>
        <color rgb="FF000000"/>
        <rFont val="Arial"/>
        <family val="2"/>
      </rPr>
      <t>, </t>
    </r>
    <r>
      <rPr>
        <sz val="11"/>
        <color rgb="FF3366CC"/>
        <rFont val="Arial"/>
        <family val="2"/>
      </rPr>
      <t>New Jersey</t>
    </r>
    <r>
      <rPr>
        <sz val="11"/>
        <color rgb="FF000000"/>
        <rFont val="Arial"/>
        <family val="2"/>
      </rPr>
      <t>, and </t>
    </r>
    <r>
      <rPr>
        <sz val="11"/>
        <color rgb="FF3366CC"/>
        <rFont val="Arial"/>
        <family val="2"/>
      </rPr>
      <t>Pennsylvania</t>
    </r>
  </si>
  <si>
    <t>Data Source</t>
  </si>
  <si>
    <t>https://www.huduser.gov/portal/datasets/ahar/2024-ahar-part-1-pit-estimates-of-homelessness-in-the-us.html</t>
  </si>
  <si>
    <t>https://en.wikipedia.org/wiki/Northeastern_United_States</t>
  </si>
  <si>
    <t>https://www.huduser.gov/portal/sites/default/files/xls/2011-2024-PIT-Veteran-Counts-by-CoC.xlsx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</si>
</sst>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amily val="2"/>
    </font>
    <font>
      <b/>
      <sz val="10"/>
      <name val="Arial"/>
      <family val="2"/>
    </font>
    <font>
      <u/>
      <sz val="11"/>
      <color theme="10"/>
      <name val="Aptos Narrow"/>
      <family val="2"/>
      <scheme val="minor"/>
    </font>
    <font>
      <b/>
      <sz val="11"/>
      <color rgb="FF000000"/>
      <name val="Arial"/>
      <family val="2"/>
    </font>
    <font>
      <sz val="11"/>
      <color rgb="FF000000"/>
      <name val="Arial"/>
      <family val="2"/>
    </font>
    <font>
      <sz val="11"/>
      <color rgb="FF3366CC"/>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E8E6DA"/>
        <bgColor indexed="64"/>
      </patternFill>
    </fill>
    <fill>
      <patternFill patternType="solid">
        <fgColor rgb="FFFFFFFF"/>
        <bgColor indexed="64"/>
      </patternFill>
    </fill>
    <fill>
      <patternFill patternType="solid">
        <fgColor rgb="FFFDFBF3"/>
        <bgColor indexed="64"/>
      </patternFill>
    </fill>
    <fill>
      <patternFill patternType="solid">
        <fgColor theme="4" tint="0.79998168889431442"/>
        <bgColor theme="4" tint="0.79998168889431442"/>
      </patternFill>
    </fill>
    <fill>
      <patternFill patternType="solid">
        <fgColor rgb="FFF8F9FA"/>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4F493B"/>
      </right>
      <top/>
      <bottom style="thin">
        <color rgb="FF4F493B"/>
      </bottom>
      <diagonal/>
    </border>
    <border>
      <left/>
      <right/>
      <top/>
      <bottom style="thin">
        <color rgb="FF4F493B"/>
      </bottom>
      <diagonal/>
    </border>
    <border>
      <left/>
      <right style="thin">
        <color rgb="FF4F493B"/>
      </right>
      <top/>
      <bottom/>
      <diagonal/>
    </border>
    <border>
      <left/>
      <right style="thin">
        <color rgb="FF4F493B"/>
      </right>
      <top style="thin">
        <color theme="4" tint="0.39997558519241921"/>
      </top>
      <bottom style="thin">
        <color rgb="FF4F493B"/>
      </bottom>
      <diagonal/>
    </border>
    <border>
      <left/>
      <right/>
      <top/>
      <bottom style="thin">
        <color theme="4" tint="0.39997558519241921"/>
      </bottom>
      <diagonal/>
    </border>
    <border>
      <left style="medium">
        <color rgb="FFA2A9B1"/>
      </left>
      <right/>
      <top style="medium">
        <color rgb="FFA2A9B1"/>
      </top>
      <bottom/>
      <diagonal/>
    </border>
    <border>
      <left/>
      <right style="medium">
        <color rgb="FFA2A9B1"/>
      </right>
      <top style="medium">
        <color rgb="FFA2A9B1"/>
      </top>
      <bottom/>
      <diagonal/>
    </border>
    <border>
      <left style="medium">
        <color rgb="FFA2A9B1"/>
      </left>
      <right/>
      <top/>
      <bottom/>
      <diagonal/>
    </border>
    <border>
      <left/>
      <right style="medium">
        <color rgb="FFA2A9B1"/>
      </right>
      <top/>
      <bottom/>
      <diagonal/>
    </border>
    <border>
      <left style="medium">
        <color rgb="FFA2A9B1"/>
      </left>
      <right/>
      <top/>
      <bottom style="medium">
        <color rgb="FFA2A9B1"/>
      </bottom>
      <diagonal/>
    </border>
    <border>
      <left/>
      <right style="medium">
        <color rgb="FFA2A9B1"/>
      </right>
      <top/>
      <bottom style="medium">
        <color rgb="FFA2A9B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33">
    <xf numFmtId="0" fontId="0" fillId="0" borderId="0" xfId="0"/>
    <xf numFmtId="0" fontId="0" fillId="33" borderId="0" xfId="0" applyFill="1"/>
    <xf numFmtId="0" fontId="19" fillId="34" borderId="10" xfId="0" applyFont="1" applyFill="1" applyBorder="1" applyAlignment="1">
      <alignment horizontal="center" wrapText="1"/>
    </xf>
    <xf numFmtId="164" fontId="19" fillId="34" borderId="10" xfId="0" applyNumberFormat="1" applyFont="1" applyFill="1" applyBorder="1" applyAlignment="1">
      <alignment horizontal="center" wrapText="1"/>
    </xf>
    <xf numFmtId="0" fontId="18" fillId="35" borderId="10" xfId="0" applyFont="1" applyFill="1" applyBorder="1" applyAlignment="1">
      <alignment horizontal="left" wrapText="1"/>
    </xf>
    <xf numFmtId="164" fontId="18" fillId="35" borderId="10" xfId="0" applyNumberFormat="1" applyFont="1" applyFill="1" applyBorder="1" applyAlignment="1">
      <alignment horizontal="right" wrapText="1"/>
    </xf>
    <xf numFmtId="0" fontId="19" fillId="35" borderId="10" xfId="0" applyFont="1" applyFill="1" applyBorder="1" applyAlignment="1">
      <alignment horizontal="left" wrapText="1"/>
    </xf>
    <xf numFmtId="164" fontId="19" fillId="35" borderId="10" xfId="0" applyNumberFormat="1" applyFont="1" applyFill="1" applyBorder="1" applyAlignment="1">
      <alignment horizontal="right" wrapText="1"/>
    </xf>
    <xf numFmtId="0" fontId="19" fillId="36" borderId="0" xfId="0" applyFont="1" applyFill="1"/>
    <xf numFmtId="165" fontId="19" fillId="34" borderId="10" xfId="0" applyNumberFormat="1" applyFont="1" applyFill="1" applyBorder="1" applyAlignment="1">
      <alignment horizontal="center" wrapText="1"/>
    </xf>
    <xf numFmtId="165" fontId="18" fillId="35" borderId="10" xfId="0" applyNumberFormat="1" applyFont="1" applyFill="1" applyBorder="1" applyAlignment="1">
      <alignment horizontal="right" wrapText="1"/>
    </xf>
    <xf numFmtId="165" fontId="19" fillId="35" borderId="10" xfId="0" applyNumberFormat="1" applyFont="1" applyFill="1" applyBorder="1" applyAlignment="1">
      <alignment horizontal="right" wrapText="1"/>
    </xf>
    <xf numFmtId="0" fontId="18" fillId="36" borderId="0" xfId="0" applyFont="1" applyFill="1"/>
    <xf numFmtId="165" fontId="19" fillId="34" borderId="11" xfId="0" applyNumberFormat="1" applyFont="1" applyFill="1" applyBorder="1" applyAlignment="1">
      <alignment horizontal="center" wrapText="1"/>
    </xf>
    <xf numFmtId="165" fontId="18" fillId="35" borderId="11" xfId="0" applyNumberFormat="1" applyFont="1" applyFill="1" applyBorder="1" applyAlignment="1">
      <alignment horizontal="right" wrapText="1"/>
    </xf>
    <xf numFmtId="0" fontId="19" fillId="35" borderId="12" xfId="0" applyFont="1" applyFill="1" applyBorder="1" applyAlignment="1">
      <alignment horizontal="left" wrapText="1"/>
    </xf>
    <xf numFmtId="165" fontId="19" fillId="35" borderId="12" xfId="0" applyNumberFormat="1" applyFont="1" applyFill="1" applyBorder="1" applyAlignment="1">
      <alignment horizontal="right" wrapText="1"/>
    </xf>
    <xf numFmtId="165" fontId="19" fillId="35" borderId="0" xfId="0" applyNumberFormat="1" applyFont="1" applyFill="1" applyBorder="1" applyAlignment="1">
      <alignment horizontal="right" wrapText="1"/>
    </xf>
    <xf numFmtId="0" fontId="0" fillId="0" borderId="0" xfId="0" applyNumberFormat="1"/>
    <xf numFmtId="165" fontId="19" fillId="34" borderId="13" xfId="0" applyNumberFormat="1" applyFont="1" applyFill="1" applyBorder="1" applyAlignment="1">
      <alignment horizontal="center" wrapText="1"/>
    </xf>
    <xf numFmtId="0" fontId="0" fillId="0" borderId="0" xfId="0" pivotButton="1"/>
    <xf numFmtId="0" fontId="0" fillId="0" borderId="0" xfId="0" applyAlignment="1">
      <alignment horizontal="left"/>
    </xf>
    <xf numFmtId="0" fontId="16" fillId="37" borderId="14" xfId="0" applyFont="1" applyFill="1" applyBorder="1"/>
    <xf numFmtId="2" fontId="0" fillId="0" borderId="0" xfId="0" applyNumberFormat="1"/>
    <xf numFmtId="1" fontId="0" fillId="0" borderId="0" xfId="0" applyNumberFormat="1"/>
    <xf numFmtId="0" fontId="20" fillId="38" borderId="16" xfId="42" applyFill="1" applyBorder="1" applyAlignment="1">
      <alignment horizontal="left" vertical="center" wrapText="1" indent="2"/>
    </xf>
    <xf numFmtId="0" fontId="20" fillId="38" borderId="18" xfId="42" applyFill="1" applyBorder="1" applyAlignment="1">
      <alignment horizontal="left" vertical="center" wrapText="1" indent="2"/>
    </xf>
    <xf numFmtId="0" fontId="21" fillId="38" borderId="17" xfId="0" applyFont="1" applyFill="1" applyBorder="1" applyAlignment="1">
      <alignment horizontal="left" vertical="top" wrapText="1"/>
    </xf>
    <xf numFmtId="0" fontId="20" fillId="38" borderId="18" xfId="42" applyFill="1" applyBorder="1" applyAlignment="1">
      <alignment horizontal="left" vertical="top" wrapText="1"/>
    </xf>
    <xf numFmtId="0" fontId="21" fillId="38" borderId="19" xfId="0" applyFont="1" applyFill="1" applyBorder="1" applyAlignment="1">
      <alignment horizontal="left" vertical="top" wrapText="1"/>
    </xf>
    <xf numFmtId="0" fontId="23" fillId="38" borderId="20" xfId="0" applyFont="1" applyFill="1" applyBorder="1" applyAlignment="1">
      <alignment horizontal="left" vertical="center" wrapText="1" indent="2"/>
    </xf>
    <xf numFmtId="0" fontId="21" fillId="38" borderId="15" xfId="0" applyFont="1" applyFill="1" applyBorder="1" applyAlignment="1">
      <alignment horizontal="left" vertical="top" wrapText="1"/>
    </xf>
    <xf numFmtId="0" fontId="21" fillId="38" borderId="17" xfId="0" applyFont="1" applyFill="1"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0" formatCode="General"/>
    </dxf>
    <dxf>
      <numFmt numFmtId="0" formatCode="General"/>
    </dxf>
    <dxf>
      <numFmt numFmtId="1" formatCode="0"/>
    </dxf>
    <dxf>
      <numFmt numFmtId="0" formatCode="General"/>
    </dxf>
    <dxf>
      <numFmt numFmtId="1" formatCode="0"/>
    </dxf>
    <dxf>
      <numFmt numFmtId="1" formatCode="0"/>
    </dxf>
    <dxf>
      <numFmt numFmtId="1" formatCode="0"/>
    </dxf>
    <dxf>
      <numFmt numFmtId="0" formatCode="General"/>
    </dxf>
    <dxf>
      <numFmt numFmtId="2" formatCode="0.00"/>
    </dxf>
    <dxf>
      <numFmt numFmtId="0" formatCode="General"/>
    </dxf>
    <dxf>
      <numFmt numFmtId="0" formatCode="General"/>
    </dxf>
    <dxf>
      <numFmt numFmtId="0" formatCode="General"/>
    </dxf>
    <dxf>
      <font>
        <b/>
        <i val="0"/>
        <strike val="0"/>
        <condense val="0"/>
        <extend val="0"/>
        <outline val="0"/>
        <shadow val="0"/>
        <u val="none"/>
        <vertAlign val="baseline"/>
        <sz val="10"/>
        <color auto="1"/>
        <name val="Arial"/>
        <family val="2"/>
        <scheme val="none"/>
      </font>
      <numFmt numFmtId="165" formatCode="###,###,##0"/>
      <fill>
        <patternFill patternType="solid">
          <fgColor indexed="64"/>
          <bgColor rgb="FFE8E6DA"/>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left" vertical="bottom" textRotation="0" wrapText="1" indent="0" justifyLastLine="0" shrinkToFit="0" readingOrder="0"/>
      <border diagonalUp="0" diagonalDown="0">
        <left/>
        <right style="thin">
          <color rgb="FF4F493B"/>
        </right>
        <top/>
        <bottom style="thin">
          <color rgb="FF4F493B"/>
        </bottom>
        <vertical/>
        <horizontal/>
      </border>
    </dxf>
    <dxf>
      <border outline="0">
        <bottom style="thin">
          <color rgb="FF4F493B"/>
        </bottom>
      </border>
    </dxf>
    <dxf>
      <border outline="0">
        <right style="thin">
          <color rgb="FF4F493B"/>
        </right>
        <bottom style="thin">
          <color rgb="FF4F493B"/>
        </bottom>
      </border>
    </dxf>
    <dxf>
      <font>
        <b/>
        <i val="0"/>
        <strike val="0"/>
        <condense val="0"/>
        <extend val="0"/>
        <outline val="0"/>
        <shadow val="0"/>
        <u val="none"/>
        <vertAlign val="baseline"/>
        <sz val="10"/>
        <color auto="1"/>
        <name val="Arial"/>
        <family val="2"/>
        <scheme val="none"/>
      </font>
      <numFmt numFmtId="165" formatCode="###,###,##0"/>
      <fill>
        <patternFill patternType="solid">
          <fgColor indexed="64"/>
          <bgColor rgb="FFE8E6DA"/>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numFmt numFmtId="165" formatCode="###,###,##0"/>
      <fill>
        <patternFill patternType="solid">
          <fgColor indexed="64"/>
          <bgColor rgb="FFFFFFFF"/>
        </patternFill>
      </fill>
      <alignment horizontal="right" vertical="bottom" textRotation="0" wrapText="1" indent="0" justifyLastLine="0" shrinkToFit="0" readingOrder="0"/>
      <border diagonalUp="0" diagonalDown="0">
        <left/>
        <right style="thin">
          <color rgb="FF4F493B"/>
        </right>
        <top/>
        <bottom style="thin">
          <color rgb="FF4F493B"/>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left" vertical="bottom" textRotation="0" wrapText="1" indent="0" justifyLastLine="0" shrinkToFit="0" readingOrder="0"/>
      <border diagonalUp="0" diagonalDown="0">
        <left/>
        <right style="thin">
          <color rgb="FF4F493B"/>
        </right>
        <top/>
        <bottom style="thin">
          <color rgb="FF4F493B"/>
        </bottom>
        <vertical/>
        <horizontal/>
      </border>
    </dxf>
    <dxf>
      <border outline="0">
        <bottom style="thin">
          <color rgb="FF4F493B"/>
        </bottom>
      </border>
    </dxf>
    <dxf>
      <border outline="0">
        <right style="thin">
          <color rgb="FF4F493B"/>
        </right>
        <bottom style="thin">
          <color rgb="FF4F493B"/>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[2011-2024-PIT-Veteran-Counts-by-State_JU.xlsx]Pivot &amp; Graphs!TotalVA</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Graphs'!$B$3</c:f>
              <c:strCache>
                <c:ptCount val="1"/>
                <c:pt idx="0">
                  <c:v>Sum of CA</c:v>
                </c:pt>
              </c:strCache>
            </c:strRef>
          </c:tx>
          <c:spPr>
            <a:ln w="28575" cap="rnd">
              <a:solidFill>
                <a:schemeClr val="accent1"/>
              </a:solidFill>
              <a:round/>
            </a:ln>
            <a:effectLst/>
          </c:spPr>
          <c:marker>
            <c:symbol val="none"/>
          </c:marker>
          <c:cat>
            <c:strRef>
              <c:f>'Pivot &amp; Graphs'!$A$4:$A$18</c:f>
              <c:strCach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strCache>
            </c:strRef>
          </c:cat>
          <c:val>
            <c:numRef>
              <c:f>'Pivot &amp; Graphs'!$B$4:$B$18</c:f>
              <c:numCache>
                <c:formatCode>General</c:formatCode>
                <c:ptCount val="14"/>
                <c:pt idx="0">
                  <c:v>16783</c:v>
                </c:pt>
                <c:pt idx="1">
                  <c:v>14611</c:v>
                </c:pt>
                <c:pt idx="2">
                  <c:v>12895</c:v>
                </c:pt>
                <c:pt idx="3">
                  <c:v>12096</c:v>
                </c:pt>
                <c:pt idx="4">
                  <c:v>11311</c:v>
                </c:pt>
                <c:pt idx="5">
                  <c:v>9612</c:v>
                </c:pt>
                <c:pt idx="6">
                  <c:v>11436</c:v>
                </c:pt>
                <c:pt idx="7">
                  <c:v>10836</c:v>
                </c:pt>
                <c:pt idx="8">
                  <c:v>10980</c:v>
                </c:pt>
                <c:pt idx="9">
                  <c:v>11401</c:v>
                </c:pt>
                <c:pt idx="10">
                  <c:v>3351</c:v>
                </c:pt>
                <c:pt idx="11">
                  <c:v>10395</c:v>
                </c:pt>
                <c:pt idx="12">
                  <c:v>10589</c:v>
                </c:pt>
                <c:pt idx="13">
                  <c:v>9310</c:v>
                </c:pt>
              </c:numCache>
            </c:numRef>
          </c:val>
          <c:smooth val="0"/>
          <c:extLst>
            <c:ext xmlns:c16="http://schemas.microsoft.com/office/drawing/2014/chart" uri="{C3380CC4-5D6E-409C-BE32-E72D297353CC}">
              <c16:uniqueId val="{00000003-0BB9-4FDD-A0D9-4856DC649BDD}"/>
            </c:ext>
          </c:extLst>
        </c:ser>
        <c:ser>
          <c:idx val="1"/>
          <c:order val="1"/>
          <c:tx>
            <c:strRef>
              <c:f>'Pivot &amp; Graphs'!$C$3</c:f>
              <c:strCache>
                <c:ptCount val="1"/>
                <c:pt idx="0">
                  <c:v>Sum of AL</c:v>
                </c:pt>
              </c:strCache>
            </c:strRef>
          </c:tx>
          <c:spPr>
            <a:ln w="28575" cap="rnd">
              <a:solidFill>
                <a:schemeClr val="accent2"/>
              </a:solidFill>
              <a:round/>
            </a:ln>
            <a:effectLst/>
          </c:spPr>
          <c:marker>
            <c:symbol val="none"/>
          </c:marker>
          <c:cat>
            <c:strRef>
              <c:f>'Pivot &amp; Graphs'!$A$4:$A$18</c:f>
              <c:strCach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strCache>
            </c:strRef>
          </c:cat>
          <c:val>
            <c:numRef>
              <c:f>'Pivot &amp; Graphs'!$C$4:$C$18</c:f>
              <c:numCache>
                <c:formatCode>General</c:formatCode>
                <c:ptCount val="14"/>
                <c:pt idx="0">
                  <c:v>659</c:v>
                </c:pt>
                <c:pt idx="1">
                  <c:v>526</c:v>
                </c:pt>
                <c:pt idx="2">
                  <c:v>511</c:v>
                </c:pt>
                <c:pt idx="3">
                  <c:v>542</c:v>
                </c:pt>
                <c:pt idx="4">
                  <c:v>474</c:v>
                </c:pt>
                <c:pt idx="5">
                  <c:v>373</c:v>
                </c:pt>
                <c:pt idx="6">
                  <c:v>269</c:v>
                </c:pt>
                <c:pt idx="7">
                  <c:v>339</c:v>
                </c:pt>
                <c:pt idx="8">
                  <c:v>292</c:v>
                </c:pt>
                <c:pt idx="9">
                  <c:v>329</c:v>
                </c:pt>
                <c:pt idx="10">
                  <c:v>241</c:v>
                </c:pt>
                <c:pt idx="11">
                  <c:v>308</c:v>
                </c:pt>
                <c:pt idx="12">
                  <c:v>291</c:v>
                </c:pt>
                <c:pt idx="13">
                  <c:v>291</c:v>
                </c:pt>
              </c:numCache>
            </c:numRef>
          </c:val>
          <c:smooth val="0"/>
          <c:extLst>
            <c:ext xmlns:c16="http://schemas.microsoft.com/office/drawing/2014/chart" uri="{C3380CC4-5D6E-409C-BE32-E72D297353CC}">
              <c16:uniqueId val="{00000004-0BB9-4FDD-A0D9-4856DC649BDD}"/>
            </c:ext>
          </c:extLst>
        </c:ser>
        <c:ser>
          <c:idx val="2"/>
          <c:order val="2"/>
          <c:tx>
            <c:strRef>
              <c:f>'Pivot &amp; Graphs'!$D$3</c:f>
              <c:strCache>
                <c:ptCount val="1"/>
                <c:pt idx="0">
                  <c:v>Sum of FL</c:v>
                </c:pt>
              </c:strCache>
            </c:strRef>
          </c:tx>
          <c:spPr>
            <a:ln w="28575" cap="rnd">
              <a:solidFill>
                <a:schemeClr val="accent3"/>
              </a:solidFill>
              <a:round/>
            </a:ln>
            <a:effectLst/>
          </c:spPr>
          <c:marker>
            <c:symbol val="none"/>
          </c:marker>
          <c:cat>
            <c:strRef>
              <c:f>'Pivot &amp; Graphs'!$A$4:$A$18</c:f>
              <c:strCach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strCache>
            </c:strRef>
          </c:cat>
          <c:val>
            <c:numRef>
              <c:f>'Pivot &amp; Graphs'!$D$4:$D$18</c:f>
              <c:numCache>
                <c:formatCode>General</c:formatCode>
                <c:ptCount val="14"/>
                <c:pt idx="0">
                  <c:v>5644</c:v>
                </c:pt>
                <c:pt idx="1">
                  <c:v>5331</c:v>
                </c:pt>
                <c:pt idx="2">
                  <c:v>5505</c:v>
                </c:pt>
                <c:pt idx="3">
                  <c:v>4552</c:v>
                </c:pt>
                <c:pt idx="4">
                  <c:v>3926</c:v>
                </c:pt>
                <c:pt idx="5">
                  <c:v>2902</c:v>
                </c:pt>
                <c:pt idx="6">
                  <c:v>2817</c:v>
                </c:pt>
                <c:pt idx="7">
                  <c:v>2543</c:v>
                </c:pt>
                <c:pt idx="8">
                  <c:v>2472</c:v>
                </c:pt>
                <c:pt idx="9">
                  <c:v>2436</c:v>
                </c:pt>
                <c:pt idx="10">
                  <c:v>2011</c:v>
                </c:pt>
                <c:pt idx="11">
                  <c:v>2279</c:v>
                </c:pt>
                <c:pt idx="12">
                  <c:v>2558</c:v>
                </c:pt>
                <c:pt idx="13">
                  <c:v>2333</c:v>
                </c:pt>
              </c:numCache>
            </c:numRef>
          </c:val>
          <c:smooth val="0"/>
          <c:extLst>
            <c:ext xmlns:c16="http://schemas.microsoft.com/office/drawing/2014/chart" uri="{C3380CC4-5D6E-409C-BE32-E72D297353CC}">
              <c16:uniqueId val="{00000005-0BB9-4FDD-A0D9-4856DC649BDD}"/>
            </c:ext>
          </c:extLst>
        </c:ser>
        <c:dLbls>
          <c:showLegendKey val="0"/>
          <c:showVal val="0"/>
          <c:showCatName val="0"/>
          <c:showSerName val="0"/>
          <c:showPercent val="0"/>
          <c:showBubbleSize val="0"/>
        </c:dLbls>
        <c:smooth val="0"/>
        <c:axId val="1253914831"/>
        <c:axId val="1253914351"/>
      </c:lineChart>
      <c:catAx>
        <c:axId val="125391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914351"/>
        <c:crosses val="autoZero"/>
        <c:auto val="1"/>
        <c:lblAlgn val="ctr"/>
        <c:lblOffset val="100"/>
        <c:noMultiLvlLbl val="0"/>
      </c:catAx>
      <c:valAx>
        <c:axId val="125391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91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Homeless Veterans, 2024 </a:t>
            </a:r>
            <a:endParaRPr lang="en-US" baseline="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Population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'Comparison'!$A$2:$A$57</c:f>
              <c:strCache>
                <c:ptCount val="10"/>
                <c:pt idx="0">
                  <c:v>NC</c:v>
                </c:pt>
                <c:pt idx="1">
                  <c:v>PA</c:v>
                </c:pt>
                <c:pt idx="2">
                  <c:v>CO</c:v>
                </c:pt>
                <c:pt idx="3">
                  <c:v>AZ</c:v>
                </c:pt>
                <c:pt idx="4">
                  <c:v>NY</c:v>
                </c:pt>
                <c:pt idx="5">
                  <c:v>OR</c:v>
                </c:pt>
                <c:pt idx="6">
                  <c:v>WA</c:v>
                </c:pt>
                <c:pt idx="7">
                  <c:v>TX</c:v>
                </c:pt>
                <c:pt idx="8">
                  <c:v>FL</c:v>
                </c:pt>
                <c:pt idx="9">
                  <c:v>CA</c:v>
                </c:pt>
              </c:strCache>
            </c:strRef>
          </c:cat>
          <c:val>
            <c:numRef>
              <c:f>'Comparison'!$E$2:$E$57</c:f>
              <c:numCache>
                <c:formatCode>0</c:formatCode>
                <c:ptCount val="10"/>
                <c:pt idx="0">
                  <c:v>688</c:v>
                </c:pt>
                <c:pt idx="1">
                  <c:v>719</c:v>
                </c:pt>
                <c:pt idx="2">
                  <c:v>978</c:v>
                </c:pt>
                <c:pt idx="3">
                  <c:v>994</c:v>
                </c:pt>
                <c:pt idx="4">
                  <c:v>1180</c:v>
                </c:pt>
                <c:pt idx="5">
                  <c:v>1407</c:v>
                </c:pt>
                <c:pt idx="6">
                  <c:v>1780</c:v>
                </c:pt>
                <c:pt idx="7">
                  <c:v>1837</c:v>
                </c:pt>
                <c:pt idx="8">
                  <c:v>2333</c:v>
                </c:pt>
                <c:pt idx="9">
                  <c:v>9310</c:v>
                </c:pt>
              </c:numCache>
            </c:numRef>
          </c:val>
          <c:extLst>
            <c:ext xmlns:c16="http://schemas.microsoft.com/office/drawing/2014/chart" uri="{C3380CC4-5D6E-409C-BE32-E72D297353CC}">
              <c16:uniqueId val="{00000000-E706-4F05-8DBE-DCE633ADBA21}"/>
            </c:ext>
          </c:extLst>
        </c:ser>
        <c:dLbls>
          <c:showLegendKey val="0"/>
          <c:showVal val="0"/>
          <c:showCatName val="0"/>
          <c:showSerName val="0"/>
          <c:showPercent val="0"/>
          <c:showBubbleSize val="0"/>
        </c:dLbls>
        <c:gapWidth val="115"/>
        <c:overlap val="-20"/>
        <c:axId val="224120944"/>
        <c:axId val="224122864"/>
      </c:barChart>
      <c:valAx>
        <c:axId val="224122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20944"/>
        <c:crosses val="autoZero"/>
        <c:crossBetween val="between"/>
      </c:valAx>
      <c:catAx>
        <c:axId val="2241209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228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[2011-2024-PIT-Veteran-Counts-by-State_JU.xlsx]Pivot &amp; Graphs!PivotTable5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&amp; Graphs'!$B$27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&amp; Graphs'!$A$28:$A$37</c:f>
              <c:strCache>
                <c:ptCount val="9"/>
                <c:pt idx="0">
                  <c:v>CT</c:v>
                </c:pt>
                <c:pt idx="1">
                  <c:v>MA</c:v>
                </c:pt>
                <c:pt idx="2">
                  <c:v>ME</c:v>
                </c:pt>
                <c:pt idx="3">
                  <c:v>NH</c:v>
                </c:pt>
                <c:pt idx="4">
                  <c:v>NJ</c:v>
                </c:pt>
                <c:pt idx="5">
                  <c:v>NY</c:v>
                </c:pt>
                <c:pt idx="6">
                  <c:v>PA</c:v>
                </c:pt>
                <c:pt idx="7">
                  <c:v>RI</c:v>
                </c:pt>
                <c:pt idx="8">
                  <c:v>VT</c:v>
                </c:pt>
              </c:strCache>
            </c:strRef>
          </c:cat>
          <c:val>
            <c:numRef>
              <c:f>'Pivot &amp; Graphs'!$B$28:$B$37</c:f>
              <c:numCache>
                <c:formatCode>General</c:formatCode>
                <c:ptCount val="9"/>
                <c:pt idx="0">
                  <c:v>174</c:v>
                </c:pt>
                <c:pt idx="1">
                  <c:v>550</c:v>
                </c:pt>
                <c:pt idx="2">
                  <c:v>115</c:v>
                </c:pt>
                <c:pt idx="3">
                  <c:v>128</c:v>
                </c:pt>
                <c:pt idx="4">
                  <c:v>521</c:v>
                </c:pt>
                <c:pt idx="5">
                  <c:v>1180</c:v>
                </c:pt>
                <c:pt idx="6">
                  <c:v>719</c:v>
                </c:pt>
                <c:pt idx="7">
                  <c:v>130</c:v>
                </c:pt>
                <c:pt idx="8">
                  <c:v>108</c:v>
                </c:pt>
              </c:numCache>
            </c:numRef>
          </c:val>
          <c:extLst>
            <c:ext xmlns:c16="http://schemas.microsoft.com/office/drawing/2014/chart" uri="{C3380CC4-5D6E-409C-BE32-E72D297353CC}">
              <c16:uniqueId val="{00000000-718F-4BD9-B3EA-6B0D0EA6449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Homeless Veterans, 2024 </a:t>
            </a:r>
            <a:endParaRPr lang="en-US" baseline="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Population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'Comparison'!$A$2:$A$57</c:f>
              <c:strCache>
                <c:ptCount val="10"/>
                <c:pt idx="0">
                  <c:v>NC</c:v>
                </c:pt>
                <c:pt idx="1">
                  <c:v>PA</c:v>
                </c:pt>
                <c:pt idx="2">
                  <c:v>CO</c:v>
                </c:pt>
                <c:pt idx="3">
                  <c:v>AZ</c:v>
                </c:pt>
                <c:pt idx="4">
                  <c:v>NY</c:v>
                </c:pt>
                <c:pt idx="5">
                  <c:v>OR</c:v>
                </c:pt>
                <c:pt idx="6">
                  <c:v>WA</c:v>
                </c:pt>
                <c:pt idx="7">
                  <c:v>TX</c:v>
                </c:pt>
                <c:pt idx="8">
                  <c:v>FL</c:v>
                </c:pt>
                <c:pt idx="9">
                  <c:v>CA</c:v>
                </c:pt>
              </c:strCache>
            </c:strRef>
          </c:cat>
          <c:val>
            <c:numRef>
              <c:f>'Comparison'!$E$2:$E$57</c:f>
              <c:numCache>
                <c:formatCode>0</c:formatCode>
                <c:ptCount val="10"/>
                <c:pt idx="0">
                  <c:v>688</c:v>
                </c:pt>
                <c:pt idx="1">
                  <c:v>719</c:v>
                </c:pt>
                <c:pt idx="2">
                  <c:v>978</c:v>
                </c:pt>
                <c:pt idx="3">
                  <c:v>994</c:v>
                </c:pt>
                <c:pt idx="4">
                  <c:v>1180</c:v>
                </c:pt>
                <c:pt idx="5">
                  <c:v>1407</c:v>
                </c:pt>
                <c:pt idx="6">
                  <c:v>1780</c:v>
                </c:pt>
                <c:pt idx="7">
                  <c:v>1837</c:v>
                </c:pt>
                <c:pt idx="8">
                  <c:v>2333</c:v>
                </c:pt>
                <c:pt idx="9">
                  <c:v>9310</c:v>
                </c:pt>
              </c:numCache>
            </c:numRef>
          </c:val>
          <c:extLst>
            <c:ext xmlns:c16="http://schemas.microsoft.com/office/drawing/2014/chart" uri="{C3380CC4-5D6E-409C-BE32-E72D297353CC}">
              <c16:uniqueId val="{00000000-9ABC-48D2-9A38-ABC0A9D4EBAC}"/>
            </c:ext>
          </c:extLst>
        </c:ser>
        <c:dLbls>
          <c:showLegendKey val="0"/>
          <c:showVal val="0"/>
          <c:showCatName val="0"/>
          <c:showSerName val="0"/>
          <c:showPercent val="0"/>
          <c:showBubbleSize val="0"/>
        </c:dLbls>
        <c:gapWidth val="115"/>
        <c:overlap val="-20"/>
        <c:axId val="224120944"/>
        <c:axId val="224122864"/>
      </c:barChart>
      <c:valAx>
        <c:axId val="224122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20944"/>
        <c:crossBetween val="between"/>
      </c:valAx>
      <c:catAx>
        <c:axId val="2241209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2286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_xlchart.v5.11</cx:f>
        <cx:nf>_xlchart.v5.10</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North East Homeless VA POP-2024</a:t>
            </a:r>
          </a:p>
        </cx:rich>
      </cx:tx>
    </cx:title>
    <cx:plotArea>
      <cx:plotAreaRegion>
        <cx:series layoutId="regionMap" uniqueId="{54FED9C2-5354-400D-BA6E-598ECE8C85F5}">
          <cx:tx>
            <cx:txData>
              <cx:f>_xlchart.v5.10</cx:f>
              <cx:v>Total Homeless VA Pop 2024</cx:v>
            </cx:txData>
          </cx:tx>
          <cx:spPr>
            <a:pattFill prst="dkUpDiag">
              <a:fgClr>
                <a:schemeClr val="accent1"/>
              </a:fgClr>
              <a:bgClr>
                <a:schemeClr val="bg1"/>
              </a:bgClr>
            </a:pattFill>
          </cx:spPr>
          <cx:dataId val="0"/>
          <cx:layoutPr>
            <cx:geography cultureLanguage="en-US" cultureRegion="US" attribution="Powered by Bing">
              <cx:geoCache provider="{E9337A44-BEBE-4D9F-B70C-5C5E7DAFC167}">
                <cx:binary>7Htpb9y4svZfCfL50sNd5MGZA7xSt93tPY7jjPNFcGJHK0WJ1ELp199qO5mJOxnP5MXFBQa4nsVw
qyWStTxV9VTp35/Cvz7VD3fuVTB14//1Kfz6Ou/79l+//OI/5Q/mzh+Y4pOz3n7uDz5Z84v9/Ln4
9PDLvbubiib7hWLCf/mU37n+Ibz+z7/hadmDPbWf7vrCNm+GBzdfPfih7v0L13546dXdvSmaVeF7
V3zqya+vk+vXrx6avujn67l9+PX1s+uvX/2y/5TvVnxVw6b64R7u5eRARIIIxgR+/CGvX9W2yb5c
RhE9iJiiilDxddHzOwM3JrZpHj71xaeh/3rhR7t53Mvd/b178B4O8vh77+Zn23863Sc7NP1OYBnI
7tfX75qif7h/9ba/6x/861eFt8nTFxK7O8O7t4+H/uW5yP/z770PQAx7n3yjlX2Z/dWl75RyfvuS
GH5SKfRAM005Y/RJKWxPKeJAwhUhCdePP/Lr2k+6OX+YXt1aV3399O8r5o8797SyO94/UCuX/+8l
GfykVvCB0lJq9aQTjPddJTpQTCkdRfhJK+rr2k9auXxoGj/X411T3H298vc18/zuPe3sjvkP1M7V
9iU5/KR2CPiEolqoJ+FrkP4zIAOgI0phycXTF8CnnkD0STtXOWDJq62v75r7r1f+vnae372nnd0x
/4HaOfuf9B16QCLKwDP+8I097UgsMGMq+ir8J7Wc3Xl/9ykf/EPfA/T/edj7caDZu31PMbsT/gMV
c378kiB+0m3wAWGgFMHIE6zRPbfhBzJSApKbL27Fv679R6g5fnD+Yf76+d93ml2w+XrvnmZ2R/wH
auZs/ZIUflIz4oBxCXDFvgAWeMa3LiP1ASWQAeDoSxKwp5mzu6J5eGk7f+Yxj7ft6WN3sH+gPs43
LwngJ/XBDqSClEt/zZT3k7JdJh1JCs70uyd9G2B21r65M63PC/f/oZe92/f0szvoP1A/N9f/g/rh
BzgSFP7ZVww9kJJKLRV7wjDxddEnCLt5cMY2/dcP/z5+/X7jnjJ2p/oHKOPlLX4baZ998ycLTKYP
IK6LiEPwf/zZ047WB5goJpn+MYzt1X5/vq0fw9ne7c9O8r9UWP550fl7Yb666+/WjxX9N3Xny1e/
Fqx7t76QIX25tL3/9TWTmkI4+Z0p2D3ky+Unn3g/W+Acsq8+8c09D3e+//U1IhjcTTAaSQylKIHk
7vWr6eHpEiFwKdKKMa1A7eBujXV9DmSDAF1jypTkEZdYM8jRvR0eL+EDcM4IkhDFMI6Ab/idQ7m0
9ZzZ5ndxfPn7VTOYS1s0vYcHv37VPn1rt1OBFeSShDMtCOWcA2LD9U93V3Ai+DL5r3SYSCHSbjof
zH3m61Vef/xGGj9YAIT14gJQgH+7gAusNm2ABVQp41yZeNB3xXhe6CQ39y8vJUCSz9eCsgXSM8oY
14IDTfN8rZl4Uouak7NS1DMu29ggyrCcY61o1YkPvgyZ+pTbVPX4CLfUoyWxtZiL5hgz3GXm3nZW
RdlFNvAc6+godRk+mlUzPBQKq8KcDo57xE+wbJdt7XWZumtV4vlEcmTT67nrD0taiGPfl+Sy7GxZ
xHOZdk2f0IZmsWJO9DEdJZp8PI1M9ytRmy6v3naaZqNLJG/GyK5gE6aPCzlTHzcDPXakLd7NoR5O
6rQbomQZ53o6NGNRM3MS9aJciSCXc0UqMX1AFsu4QpkpYtVTl0Ao4OyCo6hdTspe5+jthFHBmzUb
s1SjNumrsg/pUVS7wh89auSLn37R/pO5fbLt7Ios/8La/f7nf66tgX8fCaU/PtyRfn/8dfaVLXzx
W0cPdudyfv9Lu938/izYzJfd7Tz12R/fwcafAMMT+fgnF/8ealAG+eY3xvsdauxylG95p50zfrnp
C2xE5ECBU6pIcRJBRN6BwxfYiPQBgAnlEjBFCcGlfo4bQoHpy4gAeuzA5g/cgLgBKTJhWAm9Q5uv
Z3ymSOBiv/z9LW7scOEb3OCQ3zEePZKhQisp91yNjLIbMc7sdlSoKpKqycQFc1N7vtSTWn0jmh+s
tYOI/bWUJhhkoTkBH3/u1qPHaOkUabYRm8g5GD85Lwemb2aQwGnXLXr98nq75+2txzGnNIKCgQL0
7p3NIQDzVmFYz5AqiyfcmjQuw0LO+8DZtulTydYsKHI9yYJCivN79PjBYffwcidYgSPJtQLtKcL3
Dtsh7IP1rtkuru/vTW28jGsyqtOZLOEqpIu+SSn+qyP/QMQCpAVlFNvZ2s5svkXpHgDLTSoyW2dI
uKzqvL8fG1MssS5cuMzw/NMLSgJGCsuB9ULSI/bCQolRAPx1epOj1J5EqlWrOe/12iiGPrB0lLcv
i5V8J9cIkiupKJSIIFyqdoHwm0A3e4KXLA3jZrChq+JBpp5eLEuHx1hNvDHJPBTkXNUN30ZzRa66
UTQ3TdtGU5LLamniLPLRVT9TOsRuFMMYt23uT0nQ4beZqr+wAqiH9o0Qeg0QkwmYIJRJEJyf77cx
WmWl6YeNiFjGr5GhIj3xWY27w8x2amW6jEzHxOZzncW+F+QafHC+Qrp2G4pzKY8Lr9jWzK24y5h3
EHxlDbbkU2pPzKLIeShykx+PmNZm3biRnBuKQQ5dJRayGqjPyhi5gsbTTBd12IpAzpGLkFsPEbYn
LZrDFelluEwLndbx4kYrPqqRtfNKuiWMa1V1tDxxTIRLCSghV4UaK70p8Yjel3Wu06vOUQcml5Yd
a+LIzyizMV1yQh7ASkORxaQoynDWcz3yN6GZp9MG53WRSFFO8ag5p/EjELjZgJ+G0YdLNPXhUled
U0lIu/Z2KGl7uzjMtnKs+i4J49jeKsPGS+y9NYnuFoCvgEu9LokTd8rhcGVdTWhsxrS9ZXkfrlCH
yLXoB7UqlkLcCS1os21mHW6l7ekAYZtYD5IV4WrgDk7aVnyKTe1hQd0U6Q0tq8qtBjWJu3oAOapl
BLk5Tq4HDUpbVKdvpm4RdxLJcFVkXq87Ngl2ONuiV4kOKG9jP6bh6slW8zJjQ5KzYhrOiir4+7q0
qIi5gMPSeWz9kZ/GekmQm6v8WEdpYbZVhzrIKqAsV8O65zR/n4+TvlEt4Omqr4YorM3MwU7GRvI7
61V7m2ctOH9n9Kmenb5pa1NmMW8KsIxQtSjhWbAnDs+gftbacDkMczutRklBpODd7W0IpTFJZqul
OxwHB0rSOWHbIS+LNp7a3VknrutYZdZtHuXPQy8SNii+zqsoWmmFcp90jcbnj9/p07RJDOR2gBtL
vkFw1jd51I+rKdP6cOg8GHC+cw/ZV1O78b5M0xPiR9wmo5+GVdUFpa8YjohjcQ8J9hD3tcLled9J
34pYmYqGt61ssMvi1IZ0PKwhv4tThuCGpi4I3k6kj8YQZwY1+bH3fYGOZjyU06rL0JxetW0j6ji3
QrRxkw99ekoXPd9CnTHdjzPqxmQq/VJcTjOi03sP4s+PfNOMR57mzRQvuLIxUiNKLK6KGIlRgJz9
dcvSfB2KOY/TRs+HmtVJl3dhO7GOH7aqZOdC2SEZx2mT6jmc9JkN19IMNsnbtAC1o/mci0omPsrJ
bx7TbtXms4z7OZALJPP+aso7n8V9OooPPa80B/vyE0syXYSTMULjhiubQf6Oqa1jbCHfdEN233mA
TWmK6Lgpcnne4kan8bDw+ZQ0kwGFB+RtvJRZcdS0S3+vi7ybVh4NWbEC49bHPO1Ds9J89DomUZTe
sMb3zYog/q7PM5QUrrtrSFSelzUWfNNNDCCbRAyMzuERTGquhL/PCfwRAy6HKwhzYMs0bfJiI1EK
UXpxxdHs+/ZWkF7fmDkfyjjKlBGxGMdwtYQ8vQk55BYtJ+3t7KtQx2M13QWrsptSSABMS6vrEuHy
fekWcCw9C7ZNsS+OioixrWo1zmOt02YFYdReS2HWS1E2Kw/HyA4JM0oci3rB+v3iW/LBOISW7ZLz
QW2ZcQubEtL6cMgccdWxhALn45KNQq5dUx3Xuk1PJ9Rml86X+TZT+jrK8+6m7t3dbMIO/Qty440e
VuUAcgq6BJwXLSmOtW3phwFBlZfU+YTPWj1Fb6lUVbQqxmkr2IDGFZs6koBfRic8tU4d6oY2F2Gg
YThcOL0xuWpXNni+xKPJpxWfaRfFqOZijA1Lm/MmQvxjTRh8v4WI5d6JXNP0o1ZT4eKua1N7uChb
1DHNqoEnla/QqamLAURn0jZeepH9NkfKbqAoURdRzvCqhCMdRaR1VTLT1N/aoCAXaXuhTtlUoKQi
I6i109qti9pzAAteZ+7cKT9vZ1aqcxRmfQNkVmlWqJb+HtelPhWpAHir5AJG0w1gKT7DapUFtDOl
IWvyVZZbcs6oBiztJAVMLzU8Z6SwG9nn+tRPoJqkrjXgoBlK2FOk5ikuWg4f5FUDJhhYpk9l3RZm
ldEK8N6NbjPnI+DgKDLvj7SQ6lS3NUpKZWHlEoKJSVikwmXLYHkppq4+imaI48AVFEcsXfjdMpcA
+I8QGOVD6tYRynamP+E6v+ynRjXx0E78dBoGDJWcWMbY9cjfN6yCyEGYA4ugSyfuohrioy8E4LQR
Re1Wc2frfFX3IoKMYYa65uhpW6QRrj7q8hIyiRQhCF+RA7Tvauc24zyEy36E3NeoSa/JUjfzMZ2o
bHw8zIaHMyIzyhLstL2daNfmF1SMsOvCtHDWaVxgycYVc3TFu7b2EC1kz62J6zzrqjqeFB6jKMkC
l8dD5csuKToxv02RFbcyJwCss0Pl6dS6UMRVPZQeQgbJrqdosTPgZi1P+cKUB1yMyNvaInzcDjn6
3LtOH+XDpEMMe4Ysp0CRvqFhArNQtYNI3umeXDPXQXjKXGiqQxfxaoGdFDuJdhY0DnwBhPWhVQIC
pgOoepvuNFqWDNQ0GLC42oMaEemgaujpgh1eCd+iYl0rkeIbgmYuOMgJUsu3khVoeDvKUMs2KaY8
y9VVXUFzHUJVqxfWQmjs5uJwrgqUkXelgmw5OwpTL+KIQLpRYyvWBeZplaS1KVb9VKfxBMTBkUEa
cpCI5vi44i4/Z6YfkwLl8xr+61YBmr/Hdbm0Z6D+7soqQJZqzNFvAeniGPVZGo8+h9AzK7PJqCTx
HCJ0WA+TgHN0ctXgNI9xpE/47NOkM+xNpgDSmcuGQ4IzsnILMbELodvasc/irK/JVcMBYmJIQ1xc
jq6ISQUZSS9N9RkYCXGoRptu9AKEW9x3o12BB04JoMLnxnWfUT1f6MCnLdg1JAZDhy903+ILYeZx
NWKTSD+bTRhEt4bcOH0b5DAflhBEV2WXT+vA+QXHPT8LdGjegLYhLjehPobIZ464qVAcIdYnysh1
puuzoeI+ZiCqCzy32bsWyeHWWcrO7WhKm7AMQwIZuqNa181KjpfMkCvI/Jo1RRP+LGQqjhkbeVHE
huoSN3ETTTxVG1QuD6KToBA+gAsfCsGmfGUGXFtItNHYJggisI/nYdwhSI4BISBeARr2pT0ZOoq2
ks1de+arGozU5IA2hXRgkcuYgu7TUOf+cq6mskhGSLtXL5dRu6rjWWmsgIiImABigQAFsV/2LyMt
NUS8dtOKx6R/DJjGbpf4vrzOd9WPUooAUUEElP0cCrfn1Y9O834obd9u6kYCGA9RRK4771Ad80As
0G270uURDl9e97vSH9YF9l1ICZUph0rx+bpQktestKHdhLKWdz0ybmN8qMPhFOWAX9Y085WUOWBx
N+6y3JdXB95mX7pKU6iKwcFhE2Tv1LMvgT0h0m4mkUIBsihHr9UOdcvIA9r3WQv/x62DsmSXeVOu
ANwft/B/jN2PmlXf8PzAA2swwt+Zmh8ydt81JZ9ou8c7v9J2+EACRUUkB7b/G8qOHggRUQosMWSf
SmNQ7R9UP3DQBHiJiBEOTWwgDr9SdtCP0wK+zhiguaKY/Qxl953vRhE8SCoOY1m78Z49ZolDaZl1
Klo2VSPyhC0yjanMbr4Ryg/oq+94wd0iQAhqAK4Ifu0TSXZErdZq2QwV7eIQ+WWVR2OUQEXc/wVN
9523wFIcxAL8NY52HZbnvmpNGjqog5dNGAtgy+uiOqGUpTGxLWQSMLe5McSho7BAtNVqtn+x/Hfi
3E16chhiIwSGQsk+g0XrRYlJ0m5TNtM1NdF7VfjVy8Lc+ftztIUlBDSggCID6mofbZ1D84BT0m0E
ma6DYDdeE5sMlEQxXrqHlxd7HCDaXw7IJgWEMgfWWe+m9r6lyFjWcRm09xsOReVxVhnSJlYjc1yJ
1BzXI3/H06kzMc+6HseCQXYdd7VeXGwqZ9zKWyg0I5oRHeelqrbDFGnIeu2ogXepayB3PLRMmph2
pAV6JNexKzXd0tKwj7ScjrLR958brgDwXY/pzew1hMNZD2ZVoYad592gVyyv2GrAc7iBzoqD2JdN
WQyErctXvNMGSq86ew+ZpY21cexNmllxIfqmupIClfHIHVSwWZ+dD2NDoIbX6cqqoYsFFjuKYlm2
lcrOhhKNh8yYzzyqr2zBP8lFvekd8EUTV+a4xeFDNkJ6pU0p10jAMw0rF0jZlu4IGk1F4hoCSV85
Pbhcd9uozC/aWaJVoa1bc2qG9WQneR4CqxKNZHpMM3YTIZIel3nRJ52P2rgYxwcmkb4OjS9WMynL
80V32XUveZ0MqkqwHrNVZCFTC1M6bpaiTtclDvlZ40Uy5GmMUyhOTkSGZbWeHOrnJJvmTG97VQ7h
sLCRvu4iSBFyaEQkVBXRaYvLEp80LUnJYROck+84VHfv82p0F40l8BwVAr22pBpPoF00bIDa9XHh
XG9AqyI/SU3nIKPEYk2brjo0kwYTMV152VnIzMupIWsoHughtK7wDbcVsL5jFxKUF3S4HQrckSzB
MzlFS5RdA1OwrJvCkjiVhq9yoGiqeCqI3i4I0rc0zd2bdmncJaThp0B6sNtuUf01H1i16VBOzkhg
cmMasIVukcXh0DfhqDHsNq+cmOOqGLLDMmJhw32h32CZlUeIte5syZC9HOp5Rf0wn0GkbYHGa2t8
6Kayu7VSZBk051qgJ4Mojpzmw0mRTlWcLrm8LCJ/mKYMipm0j0isSfahHKp8C7e9D2N2zE0K2Xc7
vWnn6l1JgHFBY4kgA23Gk97LKi5ySP/GIZveoHQiR5QVeENwW29m0/OtaH13MttdWogzYS/MDHED
LBqK+hilGX7D0m6+89AETGpwmtMxKxFwQZIesaDzlayRaFalgcqmSrto1eEOVssqZsFfEGKJpSE9
TIEZOg5Ipbeq6pskVZk+ytJ0OgllWSaRBTpBagS01YhT8H2DYsoxMIPpEBIjKh0zWU/HC83JaYD+
ymFaSn1jrS0TU8H8vozyO5ay95os8zrre3xVhBlv6Mg+RKBXpOrsbWUxB5YHJM2K5RiKQ6C20srF
C0f9Kp3GagUdoTyRS3mGfNe+Kbu0XjXdcl9kyqs4x9UcqzQbtynKhjVB+E2Yh8M+2GxTIqB/rG6n
o6WCx2ap7N45giID8DShVds5ezhQy+78WFexzVu5BmqmazN2DZyeThpSQXumiUZ/OaCW3QFuq21h
JnaESV4Dw5zTdQ5Feh0L3i7naV31NGZpO7+zRNWnAEjLFtoGU9xSATUFtIKBkkVQ9KY2qduUrjzO
TzPVHOUQAICFxmMfZxkUk7Uhzbk3aluP9F1lchzTlDRJptwxdwqtlgWlq7RC6ixLq4cUeKBk6fw6
Gii/GzBvPwJZPl60HKiiWECVuQJIkBfFXIZTLUm9lYa6DVNFtbLTMv1mw8RiGNGClbEu5zmpJThQ
jJpQftYlqt+TqcPXabTwN2wp5YrVmiQEOGIfW1EzoCHyfi0bsC8SZLg3ZkYXVdfUIOYmqVxU3ohc
NJtZFxa4TFcPCeGBJyUH9IASsz4aloif1kByd0AvL+OF8QptCGQ2SddFn6D/mfXQBQC9d6kot6pU
0XXtAzlqRGHWjvI5ica52NCK0zWROt8MhbUnFkrEjeiFuJAFqYBHzrIPSqxNVsxH9ZyD+Mc8vCOA
XCsKXbpDEFJ9zVRGEpikaOsY9RV9yzu5lpMx7/u54h/CKPNz6eTy3jdsZatiKuKyde58IG1/WJkS
LG+Oyg2vahfXEowMgufnpvI0TjtXHcos9VuIj9N2LBlgRhdsJE96YmZar2jth6e84v+S/Kck/9O3
78R8O5jz2EX78xR/bwLqaYDqMcXfdd++JPhSHkCiziSk5TAbBEOlkLQ99eVhsgcG52GqEfL1XVd+
16f+kuNDM58JHsHs1pf3g74k+ETB6ytUwMQwoRHREYwa/URPnsGA2DcJ3G5FAs1CSXbDRoCrdC/D
r0kJecdUiQdF0n7Qa9ryFtUJbsdiuRFiaKs7jpzwh003+5mvehpEDtHXpvhj1jjeQNOBhio61rmY
gYHSqOk24Ai1P6uFgY5fbKsg2o+i6stgV0jKuoQGQRRx8hAFOw9XdR6i+g6mdNr0EzOsk+eZLLqW
xYYUHrbCW0iWLnKCgbNcZbVwVRvbSRhzSqIZ0rt1ZgyZT6hhTfkZ+dHCPS+nuc+ZhV23GV4XAo4V
intQHxTbz5PciJhiyGWuHtLJNmW36Q2v+aaG9oOLNovP+mJKlqKti881TguaHr68PExnPdcRvPTC
IgZvLMGMpSSwmefrLyXwkjApVtyXpGLAIPSWCbbrHVDUlYcuTJnrVy7vM57HiKOlbS4nzmZPAR0X
ObHjXuYN5EHWdtAtOIe3PDq49vIm94o4LID4gIEnmKeGWpaoaFeXfNMrr2TegWmg8TwHrh42t5gp
kh9aL5rhzYzUwE9/fj2B+dPYI1AvewMXUQgtTMLg4XwxTuzKxizvyhgDkAobO19kdz+3XgQFOlTA
AnSAMYda/fn52JQS0oxFeZ6W2YjeNlU5Y7qKqjpi68Z3ERz55QWfF3JwMAYjaVANs917aDs/f75g
yAtEc8fQvUQOGu6rDNLbqDusFe8ZjhvXS/mhEjjtty+vu2fsu3W55sA7CAw5BNtftx1mG1nE1H02
gxNDaxfySP9bzlPawFxLWQzFRQNUW9/HeW4plX9x7OcV+u7YEd+NsFDNIQsFUHp+7EyMBYKChN2j
qI46logJS3EHyIT6rV2KqD4vELHkjFXdPLytPMZLHsNUeA1CeVkQzy0adiKohNEaoaSQII19rqCX
BS7nqkk/pXqBxsaR7WCmB6jw1Hg9w4SfAx7zKcg+vTr5Aybk+8PDvJLkUiiY34CZ3T2jzoEwrMGu
3D2XE8Dm4UzkQoDwddPg+bpQKZcf3ABS72IvI/Avi+fR6fVYWNxOf2EIZC80gAA05gA7gHwM4tP+
TFOml1LotkcfIaGLDNoE6K0Cwphgc3iHdJhKvvCkMH6mbRw0ZbArUeB8eGtaWc5Jg4hr3mqTG9es
OmEdvYLxw8Z/fFlNz+lXDlQKwxxmrwSB6Rfwlj3HHKYU5i+6JXwMrndgBHioMAgLQyYqUBwcA29t
YZRz5zT9ZHe/ijYbflZYhEiYugVWbjeVyyFWPLdb1VHfz17aj00tEATFEsLBAhMnM+5nccJSAYHU
ZzDPcGdK0UCIcq1xRGwUAt6girscwtculM453NUUSz2ecBiYAPrgZXGRfRsjOyFFFAbFYFgNSOu9
gB/Y1LS6WdhHmOqRyKzL3rf1cNktfdE2ydTNHWwOKpsRrtm5M3ZeqWqZYQS0bdOt164us8QsC0yw
mhzGVNMYJi1k2ieDwKi+kkZni0ko0wFiDEXlTGBSdtE1PLWCkrfr/sJNyY5i+oPxAqSSBLhvYL8J
xB6Yo9lDDLDMphubsf0QCStKkbRAV4EppukAvd6ELNCjgQGI+Qk964HDteERToCyUHAJOmNMdofD
xP7aofk+ilNI3zQ4EsxlwWjld2ZRhcqbNLfth9aBF3Vr5ivFzyjJ2XzCgCoAcegUxm6gZR7mOYqH
3E1dngDgT/Iq65YUbZzh5XLj0ODluSpg3BclgY+m1kfVIHbqsZ5pMKF5jMR41bqyWm6WWlbALuC6
3mUBBUgfFGQbncOHDGZylxtlQgDdMVHO8MsvOOvVqhWe+UMZDTvdVSErIGPrHpeHyTIEXWtlQwmP
sJCNwc4L1OySrb4VproLXjZde6hHR8a3nNmlP3WuSqF4qY2jJkFZasIm45Ct3ELvOeU3UKUSMLJI
ZZC4jV1jIed72dj3IRykDwOZELph7lQC4bpnGiydG2AW2/oD9BU9TOcEiqMWxqhtaestG7oJgOLl
FffRiEaARZRA3CaQN363onfY55Nh0y1bhp0xTgPfwR/1UQXBW46dkB/Ski1ghBMdep+dRQAsYKcv
b2PXNnjmFCyCt3IiCFzwciH0dPabYQsbhw5paW4MzCn2MLdkB4EeLIz/ABrllQdSzaWRLS5HrzJA
nDYXNltnMP092hiGPad6hEZ01sH0uJJvA3O1mmMPjabxqlcIF0knFmgngRHBEEsJzWRoLPIUUkNw
9hyDHdoxh+xim5ZVv/P8EZoYFxTifTvHrHIsjEcvn3gf1+B9CIUh3YBTw2mhK7IXOyv535x9XZOc
uLbsLyICIT5fgarqb9vdbm/bLwq37UEgEEJISOLXn8TdO/ax970zce88TIWrqwskpKW1cmVmM1Ch
gII+b1bGqAoyrRNUBdt+rNsUSVZ6xYnzWLZeVBQvnflVKkS5OpY0BRsrYU/M58eSTpYeeeVVrxJ6
hMhlX2NyXkaw5PrLngWBXcfcdBQpBM1u7M6CLNhGfz+k5I/IViIDKnFsIqrhCRJ0NX8/U8BwnPZ5
kMlzaTjF3jKqO27ARBQUsbd9DCeDgHtjHJQUSAZycoQUDUBKfAOciboIgOPx1ryARPMNLJQiverd
eMzDEtycP7DF41M9iFv4mtBN+XoWUaEpiBB6o2sTcF5guP8wtD+yTAwNnPI0IdgqYGD9F2XZeEGK
0c7hmXZgTYkaNAssLRAs+vm7iUuRyDqYedk/FYk8zscpmgkeiM+nsQunfcqJ6UBoi6x7RpaqMR2u
AA4ib+i2I5rIPqqwxFI3qiO6WYTNqz5RDmHNICPBBXsDKlbSoGglmIqpSzEVxhQ8Mk0Gdgi2BBhJ
A/71Oj9HKBT/TyVFWiJdQHZVJGhHEdB1/0x1idvTPORL9HGbihnR4TW9TXjpN9GgVOed/Kew8Mdx
dFwyhcIyiXEsQaz/ZyUbDzNSSOWLj6sFa+ybCdCF9xec/ZifdFApmCHMRWBu1flIAyZ83JhEyoKg
h1ly2o/mfZGvJRvOzKQlggE25PaoIa3FCTCBefgIZh4OqrfH1i1OYir9WErsFeyi43F0wh8PIhp6
gpcqDNX2GM/TjDvJhMDZJHJzFP5/v+QgTPo9JmLwxyGAIEEIJAH/VVEhHVyjLvbhIweJEbwHYwVV
DXMxGx7yZE91OC1c56qsqwQEDF5rkHqWm3i01Ge1QrYT3epuitJ7NvGCNoubffc9RlviyjGb5q0o
5Dz+SIdx14/TnE/wttnJ6N6lG4n93paDrDLVLMgfV3t2Liu3B71w5uc6n+KJ3NFYk6qVUgMUHbyx
mtVgsS37UHO56dSDUyQ2bIZt1y6MtY+yIR3OVUJs+pSPJqRohHhinb2AtMcJQ/7GOnNteIHMrClA
FNh34ARYiurai8BsvaxqyM9bVXS0zabI75AnzEn/yYIbx1qamoQ0AfXpHOq8M2vVVn3iRNOhYXZV
JNRAdhS7/ZZVMo4vxBGenLtoLXl8UmKe0ueQbZ2Inqs59v6jN54aQO9GRo84MQr7I9N5rp/3Yuvk
XKt5Jnz9UPl9FBfWAy467zNaZ+gyiJkmvCn0vi7lC5mGUv7giZo332KphOVnZY1zcSNGt5LhyjC5
ZGWLOiAb8wubIpE/VKSIhLhsOTjGI//JS0kNZtlD4KDT+53OG5b0TvSq+AeaxyaPT1KmoPJf24r1
fLyTmRdLdxq2zrjtDmSLru/PLJ2czR6ZTOhynQ8p78oz1kpORa02MDd1M65l76q6i9J8MS34IPsQ
rl23ont1cf2E06YRlUsRYDfV2+zzHNk8W6+xOFzEGkeRtpAHq5B1VaDd0tLn78akKPBiXt+M+n7E
zyAHTHG5fV7T5WW30IZtN0OuVZdcER9FYMaFIQNh++LlQKajzbAd52KcRT2G09EMh8o3zwJ0hc0A
MmbWvQtOOVW8H1g0uPFcCBol6lrYUJXbu3ygWV/VYFMemEShTcbFpwL9nmi/TdNxxUxFYAmS6R5R
e+HZbUSZLsY70i89Gd8PgxtKdnIDAkF3mnuYKEDIRsE3dkhjozFOTnHHQ7+0sRKDLltpYjShPidd
InG9aRir6tl25bI0GnUwZjYpbY8TpCE5P74E94+UBUzS6sjpU75i9I3iRNL8PHB3zBgdQfeu6nnl
BnDOVBwhPwXrrCyaypkZC2CXyDcuptJoSdZgKBxD5SbbMX3LUOA/nCUrw9VGTg5IiPTH4yEq5Un2
LzL6Y55lWg0A5yIbaTyKSIqSpz+XBQXNctZ9j0yrcSUJBeiKJc9shCeY2sV+MoO0vcR8RXyfwT/c
U+Lvy6E4brnHk1b7U46VhStQ/Gh5YZE/Fliuo+PJZwFUwpexmo6p2TaCj+KILReHe9jQGsYY38aj
NaXLCxBMjvcyr+b8SWQpq2iTugoAUK1A/cZcvK0etq8VvrIYomNwzIRfk2GxanTzluNW2Z4d/6Jr
Ju5p3Ovo6W2q0RU5Pv7vSX79HJCCRNwXiZpwA0RGfHsRaJT2+tJLGjDoJdlhKVZ3Ce36+AkFeDej
FfX6oOZ9M1hqqLyt7q4lqQLLQBDkG3pUFXjsmKUtmUZ8JFHA2HQDmINtVS3icCS93ZQleHMsunh5
qV5ncFbYQYhrr2PiSY8arVGzzB25CrY8qvP49dG+Lo+ciRHzk6c9fuOUgUeLb/R54FgsHdHHZXjK
c7wZ5iUu+PMO2qI1NxgpPab3dSHtNljcJQZ5fAvp9Yrfg+6bYnWthh+3/jqh0e52/GMe6ZwWpyjO
AERe70lWeHXpDkQrPrneztjT4BsfyAfo+MtLvxXJ8gKCrcTyWTNkrBi8hjYkf7eiOXB8IRSmeEk3
UMUxIzI+tsO0Z8f9S5t33D3bsQND5iw7CA2e+EJJR6/EGgpibunrWumHtTLF5W3KK9A1cTu+pwJf
ghNgxsUH1Quc8xtBdz1+RuY2lBvap5GRfROvEJfqJhv4jJLJoK9prkcABoBs8Ji4vQZx4djOFucr
3hPB5kN5FkgWfbih1Tr6+Qpd3xi06bFKx2mr2doBNiQVsfg8N8uKFySN2fgwLRb/D79A6ix2BFDR
gubI+ADFDwMo4PSAqxPezdunXDKPKoAFcClM6yqE8uHs6ZIgwpSaj7Y8jROO2OnkI8mq9TqrcFT5
L3HuB8SbbpxnIa7e8PnBjFwPZ8tH1LvfQ7rCp+xKDRzTcaG/9gyUvCMmbAU9gO2fKC9nZ54h7eEu
vzKvQ/dVB7lfS5XfBUYkOrdmp3yPCaKc0ekxfQT4OCYTeNWxxF/x03IVUELUBGwgjNf0fYIXjQWO
zy89oNAIlKgduHKVJkKCasP7kE/3VBGNT+SBHDUs9BIr1tUryLKTDKzYs5WLZsl1x6BHiur9FXpj
KMuBGi4ZhCHhwiA0zr+ioStm2ZgRwER2O6FrgJGa1PXoanSiNAiVNGcBZ94KJg+mGbXeMXm2pwdU
kIDDgubGMEK2lt3qMGKUXxzSMxbdOLZq3T9UdDhAytniuLsvBKO5+ZACxgrs5NkQBX7OncrGtQV0
AZQflGgUuF/TDhLxpcZhWOHh71G6Y1S5nI5jY8rYsdygOyNYfK8zOZgZSDRoFj3dbtyeTaz4IHbr
oieNZBqowq6WKv+KeAuQNnIKap4LmtTHGJiSEYL/W9ti7JGvIrOuptmpr3kV+EJeUlC7x4c8X1Rg
5zSZVxP9BQ7L4NkJJxods3odgX9HTTmSQn8CIumE+Rh3oLZ1DcsC5f7RFchtlh/V1m9L8mVlJaCJ
ixZ2m6omSvZVfNpTNPnn2uJ08Cj2CZmRUxZFVlliscon8KyaDW9GxVYXDq0+376N5PVZLmoAQNyA
1BeOYf0KN+O4HfGvCt0RTZD9H5u3X9HGh17wF3rPhuR4DxzeCJ8IXTg+yCjQiemEyv3obYCUpLCV
O2SL7GE3gajTgI167MoKvgDz1duSRU6JSAQy5PGjVzz8CKdR12gfNC1qkui4fG950TkwpWMJ9DwN
OwN/zC3y2OVdBLUKsHQ0ffACyRSixbLHWN9pjP7DA3DL487RU8Kvvl0o0xWOtAVLJXp6rdhkP+yF
qAepbPpBvAYsKAyOb15KcoDR0bgcICQUlTpN26mblpnV4CbZ6MlCV4Exg4Q/YCn1SXekcTz1uEax
jcdt2V8bLpoFzpGaZfbY5Co5+ratdP5YkwXbQSyuMw4p23Tiw4jdeH6dEODAR9ATZX6kWCm0RcMt
T+hYlP8AfP1R0APLOWTlMciHVZGT/4KVuUEPAXh18sTnGQxHaKUgknnSDrSOhyVKjx00QsqJWdj6
5bj3f6jufq/tjsvDzQkyaJBIoaP/E37X1s8wSCgAVb2GxgEY8DH/6O6MD39/qT8AdOwmUEdBuIZb
BJTIAGd+R2UcNKolQyr57zUSCz/PDTRLUAsUFXpWiMg5Px6q7Qc84TnVKR7ZW3D8+3v5HebLQMoF
KgQqKUjm4PuiR/z7vbCNJoBvh+6pQlct/9pn5EhS17VEV3KfkTr/0zz/9wWTQwwNJnCVAFys/kBU
Bdcx6DoxdLhe4qDoBE78Q/yMMPe2s/9+gOSA7f6D7h8jBHYLwxM0cxPYovwJZPpxSDtpxvzxLWI4
vh+gfYCiIcvOPl3L7TwotusP1tEwQBYhj3hONUJDtO4pzqN/uKPfVzruCKUUrAXQGoVhCCC6P4DG
UMWRKwJdHsfXTeWQ12GPeyvACjtDsNwfdUJqj/5wRXE4ILWI+HEjg6KL3ZttQWV/ziY6Z3HtEVpC
g1C/4OPYH4w89IGinmzcaz9LvYbZvx/E0Y36X7OK+0e3JMWCAR8F3Kg/HQNc2H2v90xcFTLSImuK
aSro11zj+f7TivnvS4EXUKJLU6YoTOFS8PsSnVgyBdvl3dXrybllKOYx7ATyn3/q2P7RCsK3g6FR
oXeMFj3SVgSC368lY8PZ4FX1PR6Aqr6tgiQXR2aj6XRUP66ESUETT6lOirrQI4D5GiJLsjaGSl88
Dy7Gnv372X6jiPyvCQfkhimAlQb4+NiJ5Z9dtzhGe6Po+XrRO5T26ynJ/NHUt/CUsPNf6y7RF27m
tQNEWdUTWKEEMtusA5/rFoceqEFdMwsFAOUuSVHCx+8nBkrpfBVwxGbzA/O9ID40LEHn5su6gD/b
nfSQpBLKptHuiWlieLysU1vqDIjVHYUkhubvq9e2mMiR09N3TE5k8fei4xuEocgVwHYDtDCAQnKF
fL2AumiMQFKT7ds5D4Xvca6J19MZiW6JmJv/igavGbv4NZuOTwkiICqs4zR1WxIhL5yTEum2TCym
G5lKbosHuo5H5y56TREUeox4brEqyQ7J3momstcS/g+yb3NVjIOt/40cLDh9oCx7zQd+JSJoUDnM
LzxAjrOwWDYANEjRRZ6cFDTP0dMkkJxvNzFA/75rRj+tKEsAi4/D+EyRPVb0IQ+mStX1kMfRUVOv
mwZcGV7LmcqFlS4tF3YCegkgowBYXw/cQJ/ZRHbuXAwWMwxts+R9tVTQ7Z26BXaEy8csVNs+fwRs
fzSGkEpBMvUwmxVY/MdeAbQFQRsGD2l15nohBPxXgtztr4AKbi1vsty75CtkfMGUD0CfmPogq2oQ
yWmQaxSjoITNizcNHKPQkj7JOeDZts4nuw71YaAxbw0yHJKVTUgDc3eiWs261+jquh5FaVVqtBd7
Hq+XNB6Ne8njSQTeshR5q6ynQk76swSAEdkaipajc/WWyS5oK3f5XQlZN/J2yccc2si3dAX48ZFu
BQn5PH8r5sZfSZUsRoHKR1cglqh603E+EdB3urnAbSRCwEpCRFv1EbFwLp+UrKLxPPVZl9W869wT
fJjgZBR6xy59utGrPqb79aQPyw7dzY+FzpPGVxl/KHozxoBeN/2RYVFfpSBCrzV2H38ZtBo/d3E/
t74iYOCWIzUX1IxAZhKZ3ZYq/joLbEcJ84G73PWqLVLO8XTjSIML7tPTMPf23T6MJj4huTWnMsR0
xIrNp+9c2aeEpOpWp1F3O0GtcMpWILngc3RX2wxxAq9c+aFQfEF7XPU/+nVh7cjBFA+plG3GquWm
3JPpHJhEM1WqLMVXl0E26SCLs8NXXpcoa16g+bIX0AfYj6US40V4Mu51qIbszId4flKwBoIQFUjH
Wkd07p6d38tvYyQzVMR2+ujKpD/FiYlv0rjifT2D2X2XAu06a7PKn+tQsA/A4KCa4YZWPwg6JigL
iCKP0Pfx/qyCjE5knczjuqWo2xEK2jV4e0NXGErU2eTKhhUQ6ZWf+y2pwjUa+fb7mqQDOc1WGVQL
/cRDvdGs/FlCWgwVNov0zVShq9+mxAwf/AbpQ4aW9222GrKAY87nb/GwqjtfpPHtmpNjhbLsaEV2
m7vxyArv40Js1wCRo5teUDB1S0S/H8Q5uIfscDThqD5V9MWpxf1cosg3SU/2b/CAmBM05hVojfu+
YuXy8aDxklnbVu1O+JvcdguEdXDZegikQCBGZdJsjo70BmKqUd1ov+hzomxyC78uXwMw/ZS58D22
jD2kBNtnW61pgdDFfd35aSvaLMz0lBZGPiie6i9BeaQ2MbrEHSTSAlQC0RR9ByVzZKEbRoN3rmky
yssv0nUST+aDJ1J8WHkwohHGdM8LD8tn7dWU1IsH0Z4RrYZ6wP2hcVkCusLG83xvUl+691Wygoou
9234Nkxqr9ErmT7JuV9qpTbyoQIWf60SmKRYHbObtJfpt7XM/d0A2BzONsAtcVFmamajBYWd7e7y
Mpr7eiSi+qYj5NRtiTRnqLNhXd7nLhcwPlvyvKn6vbgysKV5D7oLKBKO6+dkluqywffkMqgt/6Yp
e3YoN5/3BT40l0WloR6WqfsZMCEXbgprT8imwpPRVcZqnS5ofApwvWO+bdd5JdRlQToH9U6xVs+V
NNUL9Yp+HDSbX7Z9239aLPAWRmrJfYr+/CXGSdEufjFPSNOiOnNyu4v0Kr7u8SwvdCQMBCegsg88
xCnOMo+IFA89OPkGhhlXBfobjVrlcBGZ1c+gSFHc/5bckFjS85DT9QvgreV9Jbm+ImGsniZYOtx2
0K2ffIGQi2py6h9kGpsbbVP3Xq6wjdNlmX6nYkNwSJawPaRhwuYBNPSOUGNvvS7cde88nQF/QAvw
f1fA7EnJn0sQJ1/VLzjwuytstuJ+J5EBFQjCl7Fi2R0axYQ2ZqrGttyDpFjvWp5/aV0EkOz3f+pc
lLEpPFCyfb/7j8Sli6b5IzR3kPXwbvInWojyiqB11mxqT9+VW0cBcOvoR8QSULnuQpbusPqDTQVq
grawQIbLO5HRrTCnGL78o6n/Y28BsGJ8iNIg/3+sLcCYsc99sm3LhScjTX9ztIgnWd38aWRRVvtU
1MNuqjcjizlC2/wWFi0F1EZ57Iy+W6oN/RLiNXHXMl2md9Sn0YdCVr1qcq/5fOKV0o9wN9kgORjn
wG+nXsx9G2mZgVjIGIkuUIqs+yNsBLXllyP1iNuD4j/OArM2u07cCJS2emxIgcylySbLtvv/s60B
WG+MtI4gRbw1qGfNp6xHEaURRzTsMXIkTp0EO+dqM3lxkyU+lsPHnQaWbBDwL3FlbxIEu/i6TAGs
X5YxSN1CcJTZpwpy9AFElm6sdK2hJRpFE6WVf+opyCd1AouND3Mg0X5xqNcG+AouSXznqsHLJtGA
w++LEeG0Bc9sb2cARDcDfDOanBTixsAsah3ejSHKYWoAHxEZ+6kF3DGJg+wEIcz0zph0KE0b8iEf
E+DUMFE4zSW6hI0lIZlOKbEjv4OdBXwkJwm0tNmNX2RNp4D+SWEHcSVhIjCfOpe5e9EDbWwH3/sr
2GcRGAKVMS+ALA2aXItOK3T1bFaEOnFoIucmMQ9RVvmimQYG5T9cHygQLUBfn4iK9I+tQmpCtYKx
wjwzQk8dVD42aZDC8Whu0OIGowt2Czx/DFE6F0jMbBn6sUEkNfjADMtF339HEFrK/MTVqOqsW6AC
OompIAU/qcTDMeieRFtuYfMgJ3Y1LGX6rdu2r/vOu+eOq69dpbKhRpkwPTlQJE6sZPoS4/CIESRy
jS5Ssd+OEI08aNrb88Z11ahF7aouwHaEW8CUTU9ajnkLaV+obdmniK+bmb7D72E/F/OIbljn2T0a
dWXcEL+6pd1x2KTvq5XTpwI8HA3nGEAmWA9YMGBq9+4HBLfig1rkWp7Wouju1lnOT3ZZTXeyvtvY
NcDXDpYxk6+uYcmytNAGjmcB1Q6o1zE5VYbPt4Jl0X0ifHqbKPT+5m5FD7hCWdQmCcNfirCFvew+
SaB7K3AIt1A/QtukoJZ/AA3PmWulHaur1cUeFmbd0KT5uino7yYGKiZ4hfZ6zTG4UwBW/LQz3f9g
aB8vlwFtqlZjU8J7KQj9gFMeh3+fi7HtB+QXuAX2iFMH+kH4NDZWKv5p6DvyFQCWP4P7Ul3muJrO
hSqG99EQ62abcv4ZVmrPsI4CLonC7VwkbPgyu8TMh252/kJjpm8s1Mq+ZtoPZdMDY7xhKsGguxhA
ce+3BkU4fTegLLnZ4NL6XXBafBWsI58Foe5uQwO0zdQyX1Mgr5+AYSeiRUzzqqZDvNznUCEib4Xv
z7EI0++pOIr0IKHGrDOfrC8zTNlgSpL36CcCk53za5lBbdmsuvcGLZt9BuZWuIE0dEQcqWHEMGT3
o1qTF865EXUy4h7qYSx4CQPIaWmAImFNcFjOXU+5TYoWJfwGyVOE4/tmUrP5l0LVxhuhKI2/4uB1
GqrD0m1XEFXlrVFDdAWnl+T5aL+fyb4JW/chUu+yzA8vdisVjgdUnufZMpCKZpbRO3TA9K0K4GbU
ukNKc+dXq15EYnzfrEDrNghpR//dmIC9gk2JOs0qgIE/YH6GH6KxtZ3ksNEbYL2Q0rre70jmwb78
mYKJyc5TwQ08TlC/1RHSEdPCgjXKTtECL7Qm3rfsk1nH8UuhNg9rI7q2Yxwt8YN1BXlCk6qsQK5B
DlfnxvHx4pBU3SD6SRiSLJwPSOWg6a1BhojmBwoLqqix7CC0hSnO1EmrDUR9EDuwiJrD82JIxXbu
wHyA1Fk0cJUzcKU4ytitYWHpE+TUVLL9s1ytFO+Smbi1RVXBBEJalc+7ajSx3RguUZwMMn2XW8rK
WpClp99GsC8j2WxR6Qd2Rt9J+Phe8DmfqwbVtk8VfL34tNqmgJdUFlqONlA51hak6DS0cgtsEreh
ZIB0mtWiAFPvxw2oFa092NKVPWurlv5z14l07lqHrYJuBFRCVOp688ucm3OHXE3CH85G01/rsvot
gw+c6Cd5yha0rJ5YnKCFcVHgG8EjTIcUllzvB6sEngMseNce0k5rAaXDiElj+D9hg1PEmMd1kKGt
FPfZ50xnCX96xTwjdeD2ZqwOhDEhzKtbmC8fHXC03Q/QH/twL350KYt9fgE9ecd+W8ha9V/gt8Qj
XssSABzUm4INDhpIjXBsPlkOQKG8M0go/QO8BeOQNrZb7SIuO5pEeFo48oZ5eKGlldsEF2Bjg7yl
FsPba/ylpyRZ4XK40ok9UZOpHmpD8D17ehNbu4QZdJ7eIMdB7dAtZwX7N8TjyMytAJnnPgEnCqm7
qhAxoa5E07lML70pphAUwMwNgGTfgJlkR5eeOunTfjwpB+JKBexAzuXdjtSvPDE4ZzE0kzZWKVuT
dKnSUxF2ml7QPps+qdKOzxFIKnA0niGKq1OLvXMCaWP6EUsBuzCQyLkWpzlfoTzeNOgevt6TBT28
Hd48v8jqN1Xfbe8hvt+uAKf2dxA200Ykub0fSAjTSdEJnKetQj9VRePTUHlXXC/wIitqKlVIay+d
kJfDLqAxvlROQuOyiR9qjxkE2Rpq6zrHOWpbQ/fwuPaR80gQovGEDBQVIhtUll10npqpZVPpX6Kd
+QDHrA6maI+l6EXW4m+aye8aJiC6XocNpYHcI0hyYz0QfkI6odcryzOx/egifyAuUI8nstkF787Q
j20sOk+WlOC4JEsFMXWczvMpDfF6Rda5+DJuMKxem4Il3dwAUOwzVKhFWB+mMo9tm8SZNZ/BIAD7
AFRQkNUaUCOWDQkSSUDPAbj10KHyhivDgjz83qNv5WtHRXEqRD7eRB3c91bwl6FRAEVNTWBAJMGu
bSmzCp2dyPAL6P94MIXvohqutssVLLmWobEAzF529P2xNlj1wUbxjHHu6pwTuELCLdW3acVK+GaC
ovAzAgcI4OGgursIYXj9iuLS8Q/FMOkj66JJf4UMJr/RMBXuXxAiabjQLR0eZ0fZPdiG3Y9OE8x8
6XYP1hezQEb2vfe16mP3XPrMvnd65BgC5HVoshbTjGhaTOD8i6x6JIAP4Qo1QENLAFr0rQPF5F+O
ptA3ZmJNr2QK6fridPa0wBPibBIZf871CrVtATof1+MOovu6hxoyovAArWfSt4ldN2ijRgmeedVv
1Xbd5Rokr1XuYFV2zHncbjUeDANUw42SRUjOaLSgXRlTCB7bbqMbQm8E2QAsrVQBlh7t1gVJgQzr
PbXK3nUJgQVDnHWqOINPoD46XxiQd43EKNFUL77CvauE3RwS8HdLdGS8KyxeZI2cOsDXUbAKrA6x
9LzFgT6AwAS45P0+AQGo91xBvC428NRaGk/9aV88fqfLwEoD+2JS7UbVX27lsK1iq29gKxa+FIgW
2603Uqt2XLbycc20gU1mlGULCoIeKNCUzPd0ZMltyUdRgG3DAqy+CKtuo4gnLwFWLLAPUCtcsdah
AZUq+QZxiZUQ1xVVaHo4Y+gGflh9aK0L0IuPujTsZHlfjoi/mo63A0lCdja5yz5FjCv/AORKUIAB
8xTqUU3kS1+BOFBP4DM8zCBqxKfCZQFFQZVAHLCwGBaMExn4R5F57Rqcm8jqkJ+3HPZu5TFv+TtH
HWBomswMxr8T/byArNDVmx2/0HWaP2sDVwTeS2CPICaCb9RtWPKj/tLB46tDbuUj2JPs5F5bqGRW
4C5fZWejaz1gU7e6F8U7Y818Y7IFkgldiDvgAsVVxOLyExDjvsAy6PIXlewU9mTx+rjpkFyLFZ6y
zbCV7sjW4gkMFAmIp1jX8mqlXObtXkVInKa+gptFlmzjI1S8PfzW9rXVWOpps9DMnpC+kFsZZg6K
nSOfOQv+c8UMqdVqYygQMwGz5ZH9BXZu3MKRzjyXSPcvJGXkZQaR+3OMX8nqyGPiwJz/DOlKee/R
K7+ozWDXlfYbeL7mvbIwgIXV/BwT7IP9fdVFcKnSJJ0uOA80jAnLlbZw8bkFihbduSXR/xoAdrSl
R6ECSz25156T+RN8H9KngdN0amD3EF0rJQn0nyAsCkq/Bwv0X5+EAh6kX3BAiWmDPSxkIcVnVLTz
pB51us5p9s4McBj1pxV/gA4UH71Al41euw/DtKDXgL7d/C4NYKSEi0sgeUhaOsfe8OvY8mnYr8GH
DuaZ9d5l3zMJj5Kr4bDjTxuW6thEbbllqdMIXgKkEPTaQDMYKtLncQv+GtmRNpZxgAOMyGElfG2D
B4oJ+1WfndNUuvJrLqVBUFmUGGEz6oqMx1mLPA/t/jYKedeBF5KCqgRWL9J4kJMCNNrYNGCDpxkY
lVzNP+MlCsXaorcLvttpVQ42v6C69J0A6UZ17OBiYw3Cm/XSDd0eLx82WhqUMD31udaf5hKOMUOL
fmaJug/Km97DX3WYVzu3q8vLnJxiRe26vFixbyTU+BbVh8bNKVKyelcckeGKQW04VA0Q62Mkad7F
1Xjhnd+K5V8wt9uTrO5ZeZipglJe5P42MisK5tsBjoFjDtPlqiy289+3535v6KJrCMICbNuPFjm6
uhAT/t41BFRWmv9h70yWIzeyNf0qbb2HDINj8EVvgEDMDA5JUpm5gZHMJOYZcAxPf7/IlPpmSlVS
V7X1os1qo1KZSCICcLif859/0CHbfy3r5jrQUN8pGZZddcx18b4VIwwqpc8aeoE0Y0T3Nx/g56H6
9QMw10ZrKhnkw5r+o1l9ai9IeeLU/ZJ//wDld6JEmcuCFafVzMW+D7H/4+bwd5ZtMP/hSPxzP4cb
CrOv7JZIOX7wcvj+W7+5OXjyF+Q4lgvd5Srw+sHNgb7gFx6fhB3h4GJk2A7X+t2yTf5ioQwlqsdG
+wghEzEPY9tv6SzWL/8XKQsoC7nKj9N9ndmUB4n/OnEmeA7axM8LGrsryeZT4cqkazUOWAFaNW3D
cCDapwOUuTAXFqjCYqmm286aBTblNIP1dZ4Lt4f1mVYAXRQb88LrihESPlW/wsoX4tmQEM82sOxf
Y8+Mn8qZZJE0xqZICTHctIgI79aJsx2nqMyO0Qlq7k088R8D/Epls9OAJvYd5OaTSzjCvpzt+6Ib
rFcNo8vlpPftTE/gmMNZZVJUT1Yeje65X5lYBiMmKCMla2mNX7J1YRRmUn5ETg3dJmu269JPmzXv
qVo63QrQZ4yfpsyektmH86bd5FZqr37blW6zzXm2H2LMT53AMqs6D5siSp8MhiU+RNdqDbo0U84B
8k//xe3q9oMDVe7Qu9S95px9KVq5hKmbAhbobYpBmDLNHRkujwvuDHcOg4Rsz49YN/i3ROWGoX26
pzTDwLSDUhQOhvYy51TceIiX06HrGXWulbRCSPuSgsMDW1qhD9shxkX9g6EX9g1Y4hwaw+ga6BFk
W5+GVUbPK5zpD41rR4xHyRPAFX+wNIyQ4TeesDgGBsUbKfuopi4JNQxAAkpDl3vQKL8d5+royLo4
UWJyL8cS/xnT6aMrrxYHMIqQ2EOz2SShmzrrQ1vFItV3UYwmiGHoVbAFNdkcpv2STWu1wdNYJYGI
rpRNEOw9NZf5sQFFLn1wivVRFm4hcKOc3HRPA+4Vz2lHH/sE3Z7E13CsBOYR4URXjd2xOSKC7w9J
bDNTh+xvp8ZL3K9dzJMrDN+2CxmWvQhM5kCX1Y4ARvSoCh1ZGYdUrQ9eEjmhBHwO8ryeMopHyjtR
U1FBxB5gvA7YPRWrZtHn2uYUFmuk4Ax6mK9r7iN2JRuI4QfE2jf2Qpu8Tng2p/VFtCvAsp3vBOfz
0c2rbeXk/RP16/1s4a/XcZltvM4DBkzLJwgIwKNuijWWWj5gJt0f2i5JwhX28LktNf3AKDffDlFr
HjFNGagNjT5EGJL5uCGnRzEW9RZj8PSEi+160FteTROY+0ku5mcG6ZRskL2ulANM9YdMbTkvh+FI
/Ep26NPptSOR4NilIj61IN0YPZVXTGPZ1ZoE5GrGrQDZyXOt3aQgnXA1Nan5DdVvECfJV3ttP8Ig
zRiC1g3tsE6sh+hyL9CFN+Gku8RXRQx9RbowWsvWD0OqYdpER+UrUicCQad7x6fPThmoSEctNTQH
w7LGr+DYKMoTi5vDy0bjqNBNIQ6r4nXY1217qCb6Lat4yL30vBrRTnajHmTm+pg6A7BpL4/wOR+A
Uw7VWl4HuhiCZdz9GJTQU+IJ9svOW+abzNRmhCDY1jHgH0KFdoH+Szw7FnSSqSr7DRqGr4XQO9+s
wGHIlxg/IGm+8aBdBHJwer8dbDbB1LsRiPUBPOfZx8nH8OGqiXtqvyos564KXCY+rK2mv0KbibMz
+7LHn06Oe68r3laX/om5hzw6bJfHkVmmP0dWdknkkO1HGBEb3grjHgOTe5X1ocbk3Fvr6jJ7IsML
nN0sHyPc/bys105NY4qHlLnpsW6GJOCBddsGytMntwVAxv7GL8z5PYEss2fWOQZ92hY+CvolsLVI
HkeAv7BnW78frAnD6tWRhzxzHyKnu5/UoG/ZJrxTnUFxC3rEVb+yr4AoKBdUp7EGKj5zZFAx5MMO
QNLe6nU7XqBjJA/WPMsbPDEeVmwDNyIrP/WxSVMix1vqWeyDaGHnrHH9teof0Iqzu1B/RqOebTMr
x+hDq8VLItILY3pOhzYKvuHkaTY8FlXubM1yjT5M+XTTaC0KCwgBT66WPdkxaFWhqZd+lR9xED+Y
o+2wjsdmWxbF7CfmtO2nDi+9bIegk64ja8XFNOJ2N3ndGxM3G6nw2u/1wXxsIjdnAec1WSkJDgx2
O+mXxLAeRtmciz55dnJIFNh4Moi8TqD7JnQ0+VnICTdxYQNSs5c2mndH+7LrySF5mHl0pd+oGIEP
hpDfsfiC0d0GgjKvmsY0xXTVjbuoULX5EdeGYWur1jx1iBv8FlUYRAdZA4AvhQdBaVwPST3swb2P
KmWAD60F6jyZXGDW2pbDrAhgOLuADIKB63cUX+N5+UOteZdl1cV9UgpI+m7X3hQjxvjLpOqwQfT1
2syOgPQynue05UyYiidDqH0V1TdQljhYM4k/VDd8UEBNLU78b2qu9tikfkSXdEXH8NabcyaUwnbT
k1qsg0E00FYkkWciGbTXC2RHdOVkxzUbYGHjZMPk2S6ahbR8jK1PEUSQB0s38orR5FA1xMFcwWWc
Me5iTV0NjLrEYXCGICedcIHD7mFjGEazra6oiBlXUZCaZrOXI5yKyNKeEm26Hs9TvKkdSUKGfZl0
13zWqqK61WPg941YChGTuLZm40OVad5B9vl6hGnyJGa9edWgkTIaL6sRFxZ3svD3/jaBEKJe1J5z
1gzVIN9KTd0ZiYszk5ggwNj4L1WaxkxJuy+XZLzN5/TXvrO67Yjg78h8/VevF8UjE9mjqRlDaPD1
mHAV7We2V7GfjCV6udIqQnSG3cGi8YBjpJKdw+TF97wmxxQRgkHaq0+Mu/qw0j3tBgwnf27kgPpN
9d67M9rxZrQbE164VbyQUbd8cCeNMIPR+2TlCFFLr3SfXXdl8hw5emC6SfZYxRXkzAn6l3SL0rcs
HCBmBG3TlgeWgfVZ+bb1UjZkyceLux7EJPtC6MLrAmP+QcpK/Wr1KmRqnFwKHSh0URzZbtYYZeCl
nUiClXYcmlpXnPp1rffZOApqhCq+McxiP+TY0mu224TjKOsHrzQZdcBWGO+B/7z96jrtr9oq9zUZ
JI+qj8XWkKlMA0kkz5km+Uube2/szsUW/YXcQLRlwp8ZJ6ey5K6R3bJBWJkiwnA4IFLJAMm0FCpw
U6/wNMvMS2VZKWoouz1nBry4YuiXcykmuZ9qY964SftWxKURjDO5LndXYswHNsgeVsNoFUBE3yY2
gqTErShFzuHVa9UnqCfWKXYApwpqwWd96iwiB7zCwxlRLNaHMrGMq2+M8wqrJsF4dIilHyVMj4yC
ggFv0q0pr806fgEUwOrojowPUiCZyjJvIxoVcH0UGmN0TKBqlFQeQeKlKk6CMjLKKTl14+RiKqhi
RvYUosYNhVaAfehzJ9eDQ8pMHTkOtBp33ZQIS8Mxip1DVEGCWmdb+hySO57aEb3x4INqgvLhzOnP
YvysBoHtwAraXzURw8UCZUMXtZx/eb1PREXuQtQMPiTOYm8NpvBRP6ljpU8hqppLlmTWUyqcblc0
jocLAeSubEjKIHflh2VNtoVqu4cuUQKjzFeG+RRMWVSjB4mejBgP3aI1N5EmrA2M+2YD7Oh7KouO
jKqr0G2L/Vqx7soO6BVCuxHUWkVmglAbD6on20lqg906yu9Bxz3g98+THEjiaOVW97jFpWyeZibT
oatLpu8pZFwHADIzvBJyEKVhMWjQ8WImeUFb1Ie6Fg9yKsXOia23ohqf6maxScpZ74eSPsUEK93O
UyUA1sFcmBD6FuZ2NxqExW23auZzMXU96UJl+TQPPS46JqAnpFnhZwa+nhaml1lia4xRs7o+5+X6
hAcFo82emi7FSflL3hkov9z1fk1Z5ciIfOhJpe/MXvTkGsW5TUZx6YTEraet3il+ez+HjWxkK5k/
GmzLWajbOemT7VqM5RPChXRTCDxvW1HJUAiKHbP1gJS0rIAnzOayTHm5xQGnvThe9KrjsrKROXOv
BJLcfbuQ/yAh5gVL4VL1GI281ZvsUs3LeDH1OijrFuu8vssRSerLhaSAo4ZjRLA6tRW4SkExlO50
hov/pb4KbQ3tk+mtL3HDYM3oxzNtLnSMLN9OxXoAN1Lhqmm7InnXvJb5k9PrZ6PPmn2bd3fMK0/V
nLA9Ji0kNpXqTMFob5XZWTtrUDuzhiBmZdnJM0Djyeg86rn3ZJMuczWUfZnd8S0a41fUfKyf2rof
hxu3jp5qtQ4+7VT8WYMnHIyiOAzpSgCI5Z5X6X30mnrTSVnvYPCRVRYzkY4ik6C0SjfOQuBDO1Gd
aX2mI9Nbe6jOXqxf8qhGo7lqd6MDoA7Fel45ErKIr8tJ0MLlbZLt4nn9obsqP5Yu+WrlE2skmhY/
scy+8ydRDMpP7PJTge12HaapUV44shizzTUSoKCvO3eDyVx1P0Fm2SsmBQFs73yXkRzSBUzG9QTa
+UBAGGSCYJ7A8TroA0/T6BUHpRJ1oKrOD9JNqp2QFaFSyxqf4Hw7264aH5duBVav5S3xYdkdnhzG
u53242lNUufYoLzfm8WSH8c6Wrb2JLpHAfYMQ918oYfPbvIKoiz+xETuxSpQfR1DW8d3gSkWrBeY
0mG7zvPOwiNhkym6JeUKbTtI1wNIh4ZmVdVOVZa4xvXQVLVEkKUQTDZgG5pfWfptLEYvAN61QjMp
oluHaLq9WyyvXjlCwjfdFzcuuGMUtTfVWFT7LlsOdqcYqk3qYpQMpFGPQ//J5WdSy1PshV0Lo+RE
+VpjQ9ClrtxMOX++lxOsSZosZ6bco+tH1UfS0zCbQT3P2TYhf+ZA3Uh6ZJWRFVSqLdsVc2xZ4Dld
2lVY5OkuS2A14KX4gNW42NEKg7hYc/YJtFBSSQs9v+Go5hSa6BYuoNWnqq88H2KO2JiRa0MiZaag
aD9qxI4nBoY6rg5Fuu9zYQTdlRqaD71+GvJ2OPa19d6u483C8MK/9hbmml4MdvcQskN5l3U8xjp3
/EzCPTeKYgq0STN8h3wuEtM87TSJ7C41YZ5iBHETOy4Asux31NcYuzcs/36et5Wh7+IJvIMsIXoZ
O1m2I064AX6Rpp+mw9e1bu6derhZmiXzuyXarDEUWdJx/cy0SHXTysqfhoSvVwDX4FajJzO7MraI
+6QuunDNCWiz5uU48aZCk8D1Qx8H9kjb6DYUgK/KzV5T14bb1t7NQz0fUriaG1rIE1v0cxOpaivG
OaTVYiWj0wcH7ieft0G/rMZo7rx5AkZZOXSxZTx00KGXTMNXeAxX5eRB2xoVestkrX5tCVPAinya
vK1ZGI/snQ8mJBy+kRrC3JnovLwpiDvawUHTISdDnQAR2BhROh0Tj2wPW1Sv1VDL+wxKJffI3iH+
wJ97ttYnzxB37ko48NwYTCd6fQtu7vqi6zIH5bmtYePtLj4NTvbIZPGrZ7SXfjVPCANfkL5um+Jl
MMrdOHjvnWKkSnLxElbGmgU4P2/arAqMrMnQU6h3uNp5UGj55wRZU9giYAl6gv1yk8kXAQdgJWsm
Y2xMwAISA3dGdq3PEBfumEnCYujHzpmDBmvP23KEEatR0+MfGEPgmxRNuWKixg9xkjcqL32pNy0z
wPnKORxcf2qdE5O8U6fbgZPNJYUYrMctKE585MiyGQAbbssJjTPsWavXbid6s5CQ2UR3SIs2uvPY
1QZsH4zOLimN28TzZyry4RGLjrLfll6vLdtOy6cusIwEqM2hR2Bo2Jpjus2ENFqYhtwjmxwygou0
RT+PRCO8kgDn5sM5MmQPYvH/Bq///yjuGODcA5f+50j8Cfx9fMuXH4H4337pdyDewFYZP96r4hSo
nanKb2HHIPS2i6HXNQXDJYjgagn4GwxvyV8MYRIMrOuMXIDGUXf+BsNbDjA8BhDQwPF3RQLj/CvG
ysafdG+mbjjmNTX5atprmn8E4VEkdd4axUeFsTLZKSCE95MRr1sMGIddSk9AjuorQMt8aFohJp+R
oXwg+WLY47apdlZrtDt9SHX9b4yQbPNnBauNQI4vZ+vMCBxTGEjTfp4PzD2gR256zsFVdlPfSpnr
tx78Gj6DFtk5BgH1h9QQGpajWBANsUXv3Kg+gIw5Rl+8qjLuexRELTSPxSXFZG20+IJyfRognPXG
pxKqn9OF2KWtW7ZBzdsUdmbqmLHbvF0b4Qyat7+6G2w4syq2b0ySRD5vsLTIu6dkUfG+xnEhmwJp
F+2DF/UEKwiEzKWv4Utw9LoRnq+5ZOHckUfhYZo4hshorLvVgApLgiFD0q7FAEIWJlG3IxkMryX0
uAdkSPQtSnDWBSmnLob/zPqNrYqoAI4DBXa+TdUCpxXfe3Fftf0mn+JpW3WkPUaxtsM6sTtSSRi7
cbT6N+xOO5xG7HnjZP3JiOsjDir9o1ul850h52UHBDecSJ1QkBsUYR7uCrKCC5tzwQZqOVdxsoUi
iaN1Mhr1A0zFT7oFuUFL+7pmnFFw7kbIUDi17OmGrFvtfh1zpgRusvThlKr5HLvrBx1+3m0Hv8af
V1lBnpkcI96CnohXOnRAXGKHUZpCrIf+pafOAw5rzQNmrBYNolfe2RDWEhVYnYFlS1X01lMWd8B1
hpZe846hHkUmDXUxPS66PhNRalWH2WnsHaVKtW0YjOSB0TkcBPiz4JvjGvuZ9IKQE4mKlFkyAH1T
H8Q6EFrZxs49d709eU5+FVAV+jHGAOgoMSI4otsr4k1U6cXHZjD6R7yIs/d2wvsVEFRrPjCeXi9W
Zc5nS+mQ7GBnbEkDvea38e07Uw1BgSVuaKb14NBDK7FdmeyjYcmb5CVn2cPd6OZgYKWBOgAk666a
Lvh/g/ZN/RgWIpU70SZFOGgkOJsTeOmKLcEDkCr4jb6aOKfglrMpGCVFW1Il+iVYW+F8JJRHBNpc
aD4MpzG05WS8mDF4ekkQwldwjOimLRMBh2Hu9qIRagqGLHM+9eayYoGAz84BE5asI0nBWoBJBrda
dgqzX4JHbZgcaD5KF/q4pNOEKySXzdWQZfUZ2miP9tzrHPdaMRzk3Bkn2SCbCmfu40G5K01lCZRw
jmFKnmiBuHtijND9qCzMyC7YQgCHJV5hMPxWTmJy8GCYusd1aqozM2hIX6TU5De2DcnTqmUUkPxy
fbvQGAo/LkSkcNYqLIIHBjkhddBTm0oPdnA+dE+Yjq6vrlpnrOV6cZBOVhOFspCV0BgwWNkJp08q
wU8ZkMBZdLz4aNo3edrlkvCZinaGbHP3c4V6bNzYbUeBVxuGp4gnbMRhNlbMHUi+djPfgGRSnvGv
JjxDLgh/6thBPNaziZRBFnnFrY05AcTRNDZv+0JM9w4Z1nCeqoRw3qXqi1vBi7GbAJyQNdT4Q26h
ezGhaLrVueBv2uN5KwvC5RgePkdD1T6kI6NUOm3Tuokox85grXW/gW6m36ZeVj+iKNKKjTGmYqPX
/HeHNSpDaGvJUa30/hPMS+rkKX+irKkePXswgnghvqhspjxke2bztfs8f8viQavwfkqrHAFf59wx
eim0j42FRU+ARkA+mNbkpUAVSPP8uMFrYiv0Un7tVpKZIM9Mn2K4V4FaDPVgDKrdE1KzWTXsxf14
rJM97F6FEUWbiFMiVbZ1J9V9gHmO/VwEQ/PewFHhV6IM0wcXQN/Y98g07wQNLLpN2MqYZrpJ/7le
YLH7wkCouOuWrAgjZ8xfkla2DO6MWd0MXonFaGxMV9Ki5RHdmS9DcqvNg5ZvbNVzuSIe1Dv7u3yQ
WjJtWxwHP4Ozc4lY6utZsDdvMzJbDx3WP2E7Ed/I3jAfgKGjjypXBv9g0bHP85JDBEIugmoL1vGa
aIHUS6iWmd26ZyO2ZexDwEuwyu2N9ghVNI0OcHLG0+A5zrfHttc8BDp6B28XiC8wleGGfeK8ZZY+
bSZPMERrZ+s5NRhwMd5w7/C4MLhq+YZgV7IQ7dy6hdl2zsjtAMIjzQW+89vc1/TNDLTJmMLYzyhh
CelA3g25sJfFrt2dqLWGX0DAcFvxogt45t50sUf4/qY5mkwoFlJ8oH/5qadrnzExbe8705pPwm4Z
feJkV33ChlO9KavoTznUhA3ptvTL1CWv1O/1G6vUxuhrcaGViYxYpxD5aIIWg9aebBmrO1leC3RG
2ABtN3CoK0J6Z1IgprKTJI132lU1u476s5MNQxW2Tpu/isGN83CRlUXgtYjNiIk0lDdgrQEdpJe4
0wuyj2LdNTkjC4AYvfuU9vjHUcLxuJIXTWTqVtNF/rDozod8juxdlmGaElqic9egQlZyw4TTGQB4
DPBPcIIDJVb9GZLzsB1GrdzU+MXREmPgTjC2lVWfLfh0/M1UfTHRSIYYVoMtuElXMu3rjXPPdsZb
1EMGjAmshMEM5brxCyiGLBDXzF/wk/zU4xi0wTD0irZmsjnCX9UgFU8eAJ21zFECSSGaqlBj1Ew0
tj5c6ixb7oVjpB/mQumglD0JNIitTW079v1DTLYyI2jPvsF+N9kg5zHNc2o6hr3BPhtdF3xHhKp2
KeIQzqjawDNz31Cbt68Q1RjjAxrKoyv66Vpg2mYHGF/LcDHWQQBSdDDTMucaa4bU5zyU+grwjmoE
mI+wLJi8WabO8M+QlE7sIxkRZHAeMM/Kul/NzF00KGDA2LuRQ/+etxavJp01EIXwBpyjyjpOAuJK
CfxAmIM90DxFScTRKqi/cCjzPsyzITZ16zIaFtninLwOSiXGqlaz82qCQG66ZMnngK29vGSVNz93
pmwfUKq4n9vIy3a1E3cMxtNcexMGHk8eNqnVru07Gj8tLnWyhoyVI6N1E6Kh4XXemWmclEevSeVt
PLrNO8aUIg0KPWbc7pEGHlSkDfq9hc3aZh7bxBpOjreYtfO9yP4PwepvCFauK+km/nlXh8l49fVt
SN/G4cfG7vuv/Z6HafxyjbvEPcC0HFCPK2Prt87OtX5x4U7RvNFSG8hPaG1+J1iZv+jX1ob8BIsP
wb/8785O6L/Q2JGqQMbO1UhGGv9KZ8cR9jO/SgDjQeHSTfiCLn4wf2ztbHPBjr5O1b7GXhwAFS0E
CI8M7GH4uDj5q6erDEH0OoQVkpYgz6ASzDNIp2fkTaAP3qOnvPxIsQZiNxZn5V3lg5pzMdvO8hED
VbyaCgnslZcPS2bdCqvUN23csOA9hhMNaeOBdEYJ9cC8B6XSNzBvAcUoX0KjRTMRg31fFdwqyDiK
A11vSUjP+4+qkI+jnULqamoTuUj26miNvoEKxSQA9VRQK7c7NKr7aBAUG6y2spC72lqIw9kzFOaH
jFGVYt/nd5uPRZ2+1/GAWAdzk8B1zHsj8aCpVHwfbIbR63btR8fI8C7tXJA6ja/HbAxPBvRMG6W5
h67zDvj7DGHUc2tI5iLcrcQpOMvfzRz+huNwK2uv6zd6yx+lpbR8kcdPfAVuAyFqZdr3m6jjp+gH
yC9uhBYmqPT8MTEZLtLpbWvq5I3TOvzXXNxP3jiE19/MyFb2U4n6ZyWF3MeJrPcbvB9CSrD1Pq6L
e7kUKix6LkmdbZ9s0fLxJ8sMx5YPZDVOvtHX+AkPpNmP3NHbyLp6X6q23rdWR6UeLXDl8sWM6UPj
t6gAH0Wf/ghWPIS0WQ38MQQGVwbxVgyM9mpdmUGXyf4RlWZ+ZoKJiFwr1i3SlHUPXYFBBHF/m8l2
D56hPX5bJGm7kIgo6FQbl3VgLBZbtQeZWJeYOhgqMHP+gTTsXqV8qDjLxcHSOrk1MiQdNYrsoysH
5tjNdRUN/CyylUvaG8Tl1b0ZuirJAidykHuYLKyxKJkc2/aF9fw+S/j1JkYufjGlrxgO8exX/l9G
urOPuX+1mQYPoYqq+Z2Su0Qx7W1Mt1lv8KGQQdd3H7897zJGnaAKlhVGaOs2TlgyUHF59FfayOh4
xVE34ndecla1w896CavTc1kqpI1CgGiH5akgQ8N3PBRSBh+EN8/zFTXGZeR2ucJ9XFae/NTynuBv
Hx0nbDBvEpe3Q7r9RxeVcODg3sULx2LyeBu/3Yyq4aWYNH60yctXXPrMMELGfCxMLBfJUG/ITOyj
41JJ4wHlQhPgMk7v0C2000MDL7E0zbAjmnBTdoJbqoP2TnHSn0BC5h0hi8bZaiP89IfVDHO6BfgY
FsJ7Mk+rkU4Cad518lLlN57Ji4okAxsFRXuaL3ER6rwneqHSe5XAbbi+XnA1170ONI08oMAEuWbI
jJ0NHWPJ4xaJzI9xole7WbfyEC0mr2Hu1cG3Z6uVfH0tqs4O1qBsISyBCtVggCMDVe51la9uvm7r
ppM7Ru8UeaRQbAG6ig3yqAYKDPf9usJ5xe9TsWKUsLCNSQQxoVglfM/rYx5GMgKHjmU0I7kMVWZE
L01qa3s74auuGtdCqKTtMaFl90L5gx8Wj8DI3+Oczyct3h5d420usXAOzIoEVL0bq7ObIpyzZ3vn
TdmrRjSfr2FbeI5yMw/xu0uDcdW1fWzzntarbZwXN5Fb12GRke9ZnTUYZfAw2b4QIFGhsjkYAADp
LHYyKfCK0Wb+mDGpQPSWE7gD5VxHMJpP8kt3mJwer4IKWc6clvperyF6atilBm4MvyOaeHSam8td
NJr3CWHIu9Wgu4d0ix+RUCqwW752pPgI00hHyitS70uPHawkXfz73gQ5lEnL9aVFaayof7RH/nZy
RzqavulscQ8gtuycSPN8mykBx87EYmrnZts7WA/kRKxuklavzrB85svo5u9EMHFrFt6Ab/faoVXZ
5CV/ElMFuRWwG0PBHHrDqIEtkLbCdwkSuTONtdygLSx2XtS+t9dCshwBEsi48TFxmY/AEOnW6Lo3
+hI7JAcI86rWfS5rUYe5ltxp03hx6wE6yeTFxyWdmcxpRV8YGzR+eOjkE8PyatYcaIvFSsrV1cvV
oSKA1ekZPeSltctemYHPG6PJpB1QrD/aMerr3pua7GaJ+/GY4uvu+YimUegigBYjQbfImBMGVHfk
GDkU9gRYxi4d/qyyYMlx75kX2fXQbpPGwJKt1Y5NNL6gkay/9PRREGDr0Y+tOX/3WktbHXYJBDQB
L8YEwZcIUAS2sJxxQmitoMnwbCgzAeoXcxRtTMOLbuRUr9q2sKqpv+Q4/buHSoq+3A/LOmgfFzx1
gmSMVXGOKJJhqnaF4QTtglTrYivHhOloVpH2UOGDekxc5/GHUuzuux3Z/4DKe4dAZuj/1/+84r4/
mJRd6xqGZJgcOO7V4O+PboKFxBgU89hx76bLglNZ8p7mHC5W5T2OXW2xrHjrRMpK/+vrXm3Z/nRd
DBXAoz3dtfQ/QOVyEfT6QzPujenbZsc7aKX5l2qC6TA3+ftfX+1ntQUl4vVbunhEmoLYBXmdQvyY
VLdOkO7StRr3xcICuVYCMo+0EN96/fv3+k8T8DdNAAJTQfjCP+8CbnBQenlLxv7rMPQ/9gG//ebv
uZnyF0k9b1Bl25bLrIZC/L8bAZsQC9tmwuIgYrLITvnvRsC7PuNvxTleez82AsY3fYbUrxkx0rhK
N/6F7Mw/LSSuQC10FXpwsT/FMkqLeO680Zq9lxbvSR3LnYb72xWNmb6P//5pLtw/uhJBLsLSXRoi
sjp/XrJFJSqxwp7ZeyY9eKkTJ1XVSHajZPy74dAfX0W+E9fgECWYRKBb/flKYIzRitFJsx+mHPu2
Ub/tFQMEhySWHx74P9hr/sFXwrOVjGeby0G65NH++BYqiPwEm6/Nfunz97zI3yMtfc/433/nMva1
WeSJ/+kZDRhM9wm+9tgbTZLTA5sEwDuEAXP6b9w61qpkf8EJ2CMP7udvFDeYStaInfcqKrGUIIfO
j2rTO3fk0fz1l7r+pZ/2S3RqjmlKhERXAZL3h3vnqtLTANqbfTJNuESMy8MSz8+Gtjw3igrkry/2
p0PhejGOBM5X05F/ilfT0FPybtawanGm2Lg9ApDMa+GQaOmL7sUldDrKThirw7++FK+9vG0Rfyoc
fMp/vp+opkezSKpmjwEE3jAdtZ8ttfxZy/i3v/6O1xv2pxtquya7AtgCb/XPl1rHDF48ctC9Rme3
L8cGpwFTjz789VX+0ZJ3frjKNe7ph4hUtKUUA2PBVeRsn8xuflblVB2ZLf5bt+6HK/3h1kHJS2pF
g7nHnH6BIJK9rNdUq/+D10v/85eSSMc9VoaLKzx25j9/qToqbdz1mnLfKIqcRlec2QtGpXerKJdQ
Rnq9wYee8CyMm/d6B504KywZWhAKj9c0NAeBqDuH3hyPQVdX05ubpGWAcMoCHieR6lqnLgjrDvFq
qJvG7aGXNiu5pKbEa6ZurqFVSVSGek61O3Ji7N25Le+XTpq/5q5ZH+wI+olCkQNoPdt7ssfhkdOu
7aaM9Zy7sxMH/QJo7OcVRDLVxuIwDEg7xryowsF0qw+Dlon/Yu9MluRGsiv6L9qjDI4ZC21innKe
cwNLJjMxOuCYh6/XQVSrRSbLSJPW2pRZdRcZAQTg/vy9e8896P7Uv8MB8LfIxPjujuBTEqs49l5N
/Ri50AjXo5Ux008ZM8Q130czfOtNEvCzSruGRoQfqqvQmIpVA1zaWSLFCphatRknK7iRPsU77YpS
DwYixzimwOfSOLlzdZNk4ZKJ23DuyA2GhSwuURjjeXLYAoBkiE2DybehgyIAEJKzuU2qqTgSmoyg
Tpbx1vOltmTWajxBd7WPQyiS19ArskenR1pW1qZ6KQlzfwq4dthPvVAvSlrtxHfqgGJGLspyesxw
1RecH7R4AdM7e6x7D0KmVssbTYub14Bbc4ySUgGJST45sbfLNnGMJ+nFn4ChgrvGmYo9+kC+fV0X
xzEzinRToRMPebfpcF8nsTPcJkNs7VnRCd9i3LTtQo5AlAFxhLelzQ9xSA0LOiSML0MTRWlCrsUn
8yFxKYqEm9hmNol7Wk8j4vzYZ5xVD8A9vFPkcMtSTgtPQUtXg0J/XKKgDe8hbHJJoRunr9CQ2GLJ
dloFdpRAvCUmblqiJHIyIkkMXV2ItlM+guOgwyGvNDwRAsE9nWWyqxaOnlcIj+LpyYOteT/kqfxk
MFagJSW4LG9YOXUdYAbcS/+xoNV/b9KSTpZ2pds0bSwbuBla767AKyD9E/BGjrw++rZFE0CtAJys
QmYaYarNUk3/sS4rXjtLn7Rlh0x9Db3F2zam6tqFnfVwpxrYbt0Wk3Py5vfMHTDJdRcMBaAWxH6X
bWvO+rd95XfPUzWlW1u1TbahlWCgdlKmPa2nBOL5gmFf3y7wd4hvk6/q78bEu2VBcRCrrLfrh85F
Jhomlo2uMGMNJS4NsWirmQeHDjzyjR6rCUwnRORRmL6WHGQOKCryNdpssiar5JOhq88B2zEPfBGx
EaEcMbfXZb+KgGNdhsge1ugcfOhb/EKtydbXmqxqkUdAEJFFwR3gkTZdQX6IPoDR2jtsQyDsnMhh
ZijaZ1WPyGpkgZXLJ1xnPfVefmDC8lkHMdgqrQFBJDL8ZuFH06KMjerhLi+NXVN039pojIEwgQ9u
8Q4c2Qrdm6jlpUTfN6xhoncXHZ2PdYhadmMxNloYyk2fPKGmo+4PGzm5TC+nQTVL2adYWVJAYQuz
yXioWRWHawCj8JDaxL8yKSo3JTHD67RF99J1iqy/OiH1rmJ1kz1KZTHvu8riug2ZvMW15l3R9LDf
sqH2bsyuEZcAiMU9HU7zMLQ8USkL6itJVgS7Z0hsu5zLt2tI6gtJP/mqydv+vdYqpJ7hrOWLrNS7
EQ78KmgBb6A/UNRWrB+EK7lIywcE6BVWioBpTMB0sPVugiKtTqJv507oXGm1flVuM3pOqwRB5FJC
uV45PR9dFQW5irWHaUCI/j2y873CjrMIwXHwBJP8VMXZlamaYhP1psePINVVPeclxIVRHDOAq6zk
6NhjJA0WPgHuTgzPZAU9TKzPq24fxS9N6omP2WgBUJZnxNYngaS6iS8Tewg33ch8HzNMgsVCa+zL
JLQ3NSmry46UYnBYEysiYtBlhw79IR64Q5Mb5KtBd8lQ0GrEvPzCzKn1qtqF7Ab3IDmDpQem4RBM
rbypW9YeLWT1IBhnnaed5J4zhNuYzJ0heHTxpRkY+jeCaZpjRx4N3Zn2yoO8tiPovUPpW/hbgnS1
i6aKr8zY7J61JKkx0kXNRYAbO9bN/smbD+feWMRbayJJeIKjus4j5pzQB4PrLMUSWMlVbEb06IMQ
k2j8wPv8WHV6uDO8gj55CICNPpYCboFKkm0x3LK4f9Ns+hyGy6YHTc/aa+SfPZY5K2+Vs+Lo0hP3
MeRbuob8pOrvRdaxapqd/AYbzl79InUGIsc8C/sWpId2Jw3bqrZ55C/IvlVkvtQ+HU6EVixmCYe8
kkck8eVSQPPCAVrq/sJTbgylppIVHqJyQjalzBhLEr1e8kOCvsRXJ42HWhoSEJspD+g+dIWvpi0P
TLzbVSskXMMVAY6F6xxHyB1yYvPJKtY/SQf4tkTd06/0NIm0rQWNMzow1jWZUBoy6LyD1bVFvkC/
AD0InAmqTmdB+JL7SZpY5GE0SeWHsp1wIeLQ3Q+eS9eoP3eQmKvr6xlFRl/Jc9ORtnbVNNe54zL8
TSy4ZktiV5N1o6LKWk1mKzpgMKJ+9VI9Jah3yO76xASCochsokLAhx+TxDVinMmSdAUm/JvltcQG
JTTORmRxlq1FMDl4v1g4uhuEOtqFIFA6WYE7ml1GxrjlPTVolyc1FEcG2zujpB0+lMFbColq7fa0
SQ0d5yMzVvEsG4MeIXu0QJpLIwt/NuFkfmZOl7yu4XuYuaJlYkQzLnOZcSWZpu3jAdHhxg0l6xti
Whb9kOqE0xLqRuyIGcwSLniXtj0RTd5o/zEDdq5rf6rjGZ1w9gf+b5uGiYzz52IUPxmS/lrPdiUb
6ApfE3KTsEUYBe2UVY7S8nI0Z9upMVFXpH5VHHnh7WNDNkC8EP6fDmo/k0XoCszfhw6BgPowH3a/
HtRCA60HS+iukuIR5s2xSllTcfu+5Vl7S6CU2Pz+iPHLyZCxqc7R0KK15QKdmw9zPxwxaquzZdir
bNeVFGF50AZsUGzHeQ4uE69Zsf/954lfyv/5A12beSuxGCaYmp8/MK8ocCy4lywoJe4TVoliFdc5
DrGkkm9gTKGV1vgWGM721+dthw6owB6Eo2QTiUxbkp9mvxVT2W2Hmn3999/P/KfvZwvDtB0wAnSS
vhxP1BBje7XadBdJaR3arpafhTk7Qfqmr0H0Q+kb1qRR8SJFiWguZxnbnCCnrpSg0I65CEqZ/ECw
AVM26O443hUBEtnY2kfLiP1TXiXVKXVqf42mKlaMNwJ7FwasyubAwXVtuTOQz9KtN9OxJkRz/GPr
aaiBxzkhi2TyIXvU4zh5Pe+KeU7LctlPdIf/cC/E/Ft8eTvQaMG60R2HnPSvmJmw7YOE3SvdNU5C
va1BeWsGiJS9aT1j59V2GmUjvidCPG0w2ngRmsPvf45fztmoqx3PsHloGO0zGPz5aWlGpyfaT8Q4
dMd4a6NnPSqr/9My8EvHgk+hUQGCiJwE1/36m7dx2wUO4PKdY1E8O2j0l7lymmVpkJQGxYtO9gh9
+RJMSvf8+ws0fr3HlChIqTwCAtABfT0Ow5skYiDrox2aHJDKmVX4Jy0I/FfZUhrXBbyxKx9q8GNu
jY/kopWfWIX6dTN2drhsihzmG+stopeSWDmQwfMI0ULGtqP+9k9JkdffywBB+V4Lag6u52////3q
P/aradr98EOv3pq3f+F/Lt/kx3/+x8VbNWZv+fefW9XnP/TfmhX7LzqmLDGcZlCngAD6n1Y1vCAM
kPgKbPrO2BX+3anGjAAT0JsbPwQTz9kw/5asmO5fcxNb4GxgNE3glPm/6VR/3RbYhpisIPinA0pu
09d9iDx0VuMonXZMI6HgBJ2Vn8IhHB8kisxliDf/D727ry86H+gi0dFtg2/OXO7ri575YEkmZ9zh
bqtudI0Jp0N0xvaHH+H676Xrx3nVVx/D37urMUPMHLhO55fxh92usWudFlI07MaGDgf1XXmTFlW3
jFGgMSLus4Woq35llYl2WxOI9/D7jyey/MuKyjrm6AbEOHRH/MZfW5RtO+KyHl24JQT2AXYmnGoD
2ljfdeRGnQaslYchGaoaqLsroegFZlDTvsKbi/TDtO8KzCtQkgJvvEDCx+bBnJIAkqlPN6OR8t9C
h6dUMjONjWOAYo4WMKhHQh69cfxE85DempzO4W17E2ZrG6IvBvmDdOzymTMtqYugj6gcQwGHh6AA
zquO4aIPIPP9nkmDuqz6VNwb8PquGxP7OGNs9eZJicEfFej4iRN42tBJ7B6zlnl1DbidIzoHqiqI
PapdqKWniB7fK0mR6oXinT/YD+yKkJwYVjtOcOt3riSEtlZ6sedWsXeGc6YZ6R2WZW4NWN/M1t1Z
aDLFxv1YcKZxhyK6ssspPxWk4YGCCzmccBqobgrgwNAWXZwmSeN6UEKjifTmId4FuuxXZhBXh7Q1
yptaNsFhat1h65Qi25/VFYQkdI+JLrtHgDXOHb+OsZ5qTpy5wQmsdYbyfSyY74cuIhgAE+ND1ATF
C5p/fplS5frO6RExuH0VHMwm908O/ogdApXxs6dl/KBX/JFRr+onpyCyIBg4O5VhI+4JLK2fkgYx
Aklx/kkCXmjgjpZWgpsfbcnCQZqwSLNMrWvFGZ2wCWNdlEZ6qxxOTK0IHQA4RfVuMRYmPp2dBx2P
AXQaemy9yEkMRk/M68xYAAVA3GZ74lewgLqqR+UI2GZVA0zOkb3W+ExrDqcNLEdybJCgaCJIb+kW
pBvHi8pLwu9mBWjYfRCSyxS+aVJAKrrOoiGKV87C3SM4kukCnix/lRkhYsBCshADV+z3Gt7mdH7Z
tRLf+yw/s3yuxbFmCZgfSRRYKY9iF+Xdh0hj0g5iw8KHyy+B+AG4AYDeldRQna4ybLqfPR7zNzej
GEFbmnCaGbQ4XxVRAF5dD8p3Ko3pIu+j8cHoqegBEacYM8p0g0+o+U6DjJOqxRkvClEVCY17W4f8
jgld+PX5Ec3yofsA4ZluprNQq5z4JSynGLeW4PlHr6peEAkEh6xOX3oNXUFETXgVep966+uAwjV6
U2S1SmMf1farbhC4gmOnfQwNns2FodFcPZ+qSMV+JfO8+2gszLngVngoB+ziQ8QP5cDU3QSlRdUp
TesKhod91VIe3udxrV4A2hSvWmPxtM7ym8oIildT2uMxIcr2bvBGjyiHxIOqmPfFG0StOl/GhHIu
/MpPV+eL8yi19zWcgFtIxTkuUSIrL7Cd10+q1tBZF41ALAUSbSka9DSk7sml0+sxvS/DJSadfLGt
TWTcuyLseGZQpIDfRrSIzyJOqUv0kcBBB0j0ZePgcDfoTfgidV46OvrNe1y11ksscpmCSTen3AJD
N2n5GiVA316QTRDYhz40W+vWBD62KK1hfIBYxEHYgbG0EPZQrUo8mhueQyLzGkZjkNyHhqWpzS/b
wjcWBEH46E7S64b0zhvs1Lea3RKQpeQGxbl9M1U2a6c7mJeVHd4FdnApEWmsdJeXiI58tJdG+lDb
llgj4W7XrTV+i7GBr+kBfE8jQ+61PIQnakX7aOLEn8MXOhVoxteZDeu0DsLmO/Dech3GNRzcMtjg
nxEH4nl9FHmVS8Y0NJZQUXVakzVeaL7qRtDNwQHKz4GGHxSurIRqqvyg3FuGjpVGG0B86eTKkA6C
YwKa0WeopgZNi52727a2xiWMvNsxd+O1AbP8mEShuiCtot84ES9smeCTjUfON63vhfuJpGZ6bp2+
13OtQ1dUjEv0R9666OFa4sbntcxFso10FxGbJvVjT8T7rg3FnSkDZF6WW5/odprZ2uDev0MQ7R10
Sz70cYnHKsAI1HQ7Q8UuuGewtkVQnVraSkua5u0+7H1BQICPB9omJ3E1BvW7WfTtNrRD9jw2cG/T
RWxzkYFuNMmd8pZDnViIJq2h17cRuvEUG7/vDa+ejUIPXvUAzyHkxJKl6QvQwcKFP+SMWwAleMhd
B6khp6Bo6XaWSYVoljdUZx5+bsQGe8X6qq9GFhGAK6ky0H7yXl1YyD2P/RRM+At1YFKDQoIXRbxV
9RoIfbnIiRlajI2wD8qphoepN5HNJ5LkhTrf9dnK7LTigBduelOZbu+NUU73AGSLcClqfzdMtr8n
q2W8jlNzWnUBvaoUG9PSMTLJ456C7yLcZU0qtHXj1hajKjrsiI6qXi505dEXJjRG84n26sndXUGo
TJ5dh+YFGDSoAsHYLVrA9BsMbET7hvIGZAZ7OTzsfQzIlbFJ161CLfQfMy8U2yzmiXfMItp7HenC
fh9YFwVJT0Aoeu1Wgke/JKl7PODO6sC12kD1MHlU8gOG/GUUTO7JHxrDWVo9sHF89wboPCtKL1Q9
ib2K5JxrHznVEcKe+ULEEvR11yaGBF8dnpRoDCHKJSLRP5SUMsPjmTvDSk/0bj/haFoqqVVbxGj2
Sw+qKsYQGScnizysd2kmjn4haHiAmBA5Tp4Xv9P1XR8RL77A7VPTGaM3sXEju/tWJILAFbLEqQtU
eTMMzSwI7gC7eAyYjpj2Mob14BpdHj8Z7Suzq07MuwtILfgwcJMWdrwb8MfVyyQu7KuR1MDdxHD6
m6EYfy0B68FF0vBPnUukBKIZGYli2iV2jYXOCGwWZ9V892KkgLja5rGXntYogxWr8GeeIdVUoxbc
qtSd34GUMsENdBWsznrF80wUhaB9NcWxdqsVSnG5dHZnXELqrULdI6eaIi/CXDuobxDdJ7WOiIu5
FBO7M0npWMDOxReBDwwGxFh/Jys5YYBAajB1spzRCMM4GmvKUFJ0MXSgbKRgBPONjWpFUyDbm66T
nzKg0TvI03TcC3DTTZXQTZHKILYusms2d6KsUaiFfvsYG2Z4FUoqjdx21CWwuflb+OWziesMQldZ
zovyJMfPJqEmidHhZnsfZsI1y2D+HYF10a20ELFjTZl4AKoDmv8sox1rSIYRKWqPUazz24lS8/Kl
LqtxG0pnPCLA5/rbrl8RxQLzkGLrRdUMTcirp/xFvQ+zfMj2Rs0lmKEl7j05jJ/eqOLtMAEYyoFD
0dftaZbi9NcNJs1mtk+xp9z8/hAhvnYr5jOEa+AocG2wMlgafu6JtIWJ8CApm51FPCgENbj7V66D
IDskt+kwWhRhEYDTdRPqw7UbFhLHpm3upqZ4DYOchwHo+6E2u/FIQGH5DE3LuupiY3joqXI3f/iy
HEh/aiHNXxb6Dc0bjO3M/L98Wc/1UrfTzHqnxaZOgl3u3I2Kh5vkeSx8sDFXLP/8qKLjKQMmAqWe
veHAZL14S9SsrWXKcvH7L/VLz8XnqISACPGGx2H5l8NmSESGQSZEvZPSRHhJCmuAELQtT1Ovdduq
aqMVy+G0Hk2TxT5oqVoSNCVbFzAdKYtdepv01jwzcKYdzbviOx4p98ZzQkXMUDnNyWhIDWBBaqvf
f/MvebXwg7mdf//6LlORs9Hlx3ZtRUOqCEOt2YWaUR4Cn42Qo5CbL8ukrG7IUORoZ9J47HgpX+uR
eV/e57xobWP/8TD7D1/GxWxD84KW9ayD+XJmt5nVqmzsq90A8HeJKVAl61L646YY0UWoOIf7GZnu
Z2eAviMqK9xownjzEvXU51BZYjLI1poNa69VsrjoKsN66eCxX8STmR51XZqvhpVGw4UKVd4dQaF6
+8BBYs54eNrEAy808TjJLvRj+0pnSLTG5UW9mjEFp4CcNvlgjkcropqvypbMsHmFMaxWu+3CyrmD
GTd+SshJ9mw/AXBo1qyxjuVQ9/ZFtm8RE+2jAIsFGHok/RaJMgiJiZbIwXhIVuJzrT7kU3kDiG9e
U3yGIVZKQY/BHwMbvnniHlK1NoZAQakU3ilpS2pQ4g+XZHt1j+CawgjDp5G9VmabOgcCkVwcdkEf
cpNimETaUDfDGqlyBNBYmVhCdvBaW3LDbKPRajg9Vpsbj0VgCZhkpkr3rjNl4R6nZLwKpvl/CCjo
g5Vek766DGLIngAVqbiPvm5BK86INWQ3pqaH3QRiCPQAVxzmPh5lFmEUFAOlPHoRncERRT7HaX3H
6ZslFhPSk55w1ERSby9reJzVEgDadEFmHeOayFLfxgQOYhU38RYJBO922vN2TA0HCjIG2scmzl7d
ivPjrFV88frMJGJgjDsOldw7P8WefJgmbj6bjnZbgfDZCzaOm9RErxKkeDGW+J/BZ9le8Qb2rHiz
RjKaGiMzYK6gKNiYjVddcxL1TmNJ2C2DpB6wTV4/5ZKzDHZDc68PrIzN3H5g2og6QDY4O60pI95n
zPqWiKhQAl1OOLXk7twejt0baVbtoz6bJozcKN5s4qy2usUJSwlOz6sqn9gBmkLU2CJpKJVlpi4b
XLOsJhYrWxPkqKSByHv8u9W4y8KeeEdqvc0Znwn+z0afyvciH7grcsoWkFFx1eKQ2OURe2KpSrpy
DCP9xeDPW+jZEmSPuCkyAIjP/eh6DNdps2Dq9U+hUNUhHl18GiE3rmID3ea6YTP6hOjnATlZND39
dW/uAGGMV5cypT9E/DQdAvDWnx5v6bSOvUm9pI687gZXkY7QcNwmU+RKzO4toIEO2HD+0lybC+f5
Ww8QRcXCi5ngL4ts/g3MPtuL+VUd5r1GT9OedFSWKrsc2s1QyQQ+FAnLa2BrdEbmw2s86Bzgo8Eq
bxDK8MsUkP2/n/diBXsymHs9I2Zlj0eVope+jonlh8YqVwfA6DiBUbwYOrpr58fQmBEVPN6lvhtA
8VxYIR0Psx7Lm3PHJzd5fAinzogUpHNSAkHYZznzBygPzHCI6T61AY7Xc3sAQwW3wSo52dJw5NbP
jbwp9sZNqmgI9VH0CdBlvJh43XKofCHFSD/QC/NCule6GtJbeNQDw1gGC5xTKMlapG3XZdvRnMuJ
0l2ETJ/3w8QV6egdaeJMvIIFoIh7IwBgSGsHrJFqtWKNBZd2Bo27fp1L3phwkPaVkTr2HQUPxOLa
6eqnJqnoCE5WWj4TsUSjzG768j0kZ3Rd6xiicF7QtzGqbK/NzRUT+urMgTWCw7lTo3nUFh7bTUXq
a8zfJA2aPSXMrLUp+Phz/+a8YQ8pvdu8iNAC6NqHrk9zuexq/HyZpFgqaz3d/P1oxrQuMbRk+7wQ
wS26mPyE0RDfE8PSk9fU5XMh6KGJOqSn1s7txF6a0VVncdJahnrD4q4Z9fci84tXBiHoTvTSP/Uu
62zRR9zCyC6rd0JU+UHSFMVHzfFpXTuU58A0fAZx8rqs5mW4DooaCnpGR9KPXWretOKPs6GPx9ik
4Ivmrjc10rwLcEB7FR6PhDW19fe2DIq3SAThldtCsBHV/PykFgcAVqIFudYpmgIu8Vzeej4d0jDN
01sJC2QzWWyTDibU+/PegD+nOrReGF3hL5v7TjRR0XtYV26owT/we9/D5kdJhMfDuD+7xnyJCcQp
qIQtjsMQyxNxr0Cbwfvkh0TUnu3HTM9PqAbyk21QxMr5N4goEV5qSMcKkmRBcd4LVjNykB/HnjJZ
pfTn9CIz7kGmsdiyjj0XtadeEEMHB/oXcHXnlmDX0LT0DBUcwjzqCcOkBKlZTTDbMTnchN7AE1KA
7m8JxFgA8IoRm8G3L4uMl2LUu+IVczsN6p6esRkHHBUaCmfTQcZl0Fxes9nz8JyX2WEGnNA5Yixe
WOETp/oRWqgh5/NEPdCFqszhuqJp8wBWYdppgD5GMIAdN1NneYs63qPUN9m1nE5xxsPEpTQ9uB16
+mUGke4QwjEtHZiH00Scl0rYwrMZz0yvJs9I+Snhf3YYP5Cj+uwPES0T3smK7nTeuOMF8CnkeaXb
frh5MGyhOmaLnGLTXMY+ZyKVFeobemhKjrKesn2S85KR4R1dIRp97Tqbuza5mrlH2car0qXcgwat
I7F3fflMVZJYuBRHMrAyvfCpWzDmYuLTWWQROHWPpIZSzY4oV7uWH3z00umCnLPg9vyv5xdzlAlb
jCba6p2oA+1WsamARUd+OxhgzAj/i7dFX/BCx1S4IcExwDpsnmwL1CuhLHaMr9GZOJH1LmhSpPit
NRWkjdYcYM+NYrdWr5bBybSfq4BxKDmSkT7UbmkkcMX93iU5ftd61gt8/mg1zZOYhobKGtclH4au
yTsQYFj8Pcz+/1HlH0aVArU1M+ffWWvi/OPHOeW//sR/W2qcvyjubWxehu3gh//RUiP+YkLoEsCD
4UYQrvTvOaXl/sW8Cnm86+to5H+cU1omrnsXFzxabCpMw3f/N3NKPuKn4yVhDzhP+HsYqfmcjOax
4g8DvdE3CSYZtWkHZnL01/Z44SVXP9yN619nhr9+BIWxbTOfn+XjoN5+/oigbzMtNNiCuoCo0wmZ
3oib2OGW/vue/x8+Zf4WP1xIFfgDAVvzsCh/rbXXYvho/jRi/dOFfDmKE0hhIRzmI9rpxtVvRvCj
07ffX8X8V/wkGPEMrFK2g6fFF94v2n4HqlHeaV616y2vXHSaHy5jVdxIWW7tiKyu33/aLxd0/jT0
6boHzu+XIbU72EMD96aC607TW6/5RyyxBmShyv5w8P6nj0KBAiaCjqRtfdWh6DVwAkpHLoyYvPsh
sRBlJp240Bu0sr+/ql8kYFyVMCBZgCMkxO9rx4S4U33MKKd2zN/aUwryYYfleFwGw4Ton7JuW3Th
+Ifx+z9dHzYx8jQ84oZ+adPYcSAMNOj1bky5i1QBpIlVnoU0l3/8/vq+zuDx1/kGvk1iWrDT/dJ8
SU1NTQrB6Q7QPWTZLNCSnVZ6Cb0ySHEZw7hrNYqB6eYUXbScPv/w+fP7+vUZNWieWQiL5qXpy/uM
ZVZFSOvrnSe1YU2shIVZrX/4/UV+7dHNF0nTiy7qLKKA9/Pz6zyIgjxe36h2TVOKrdtH/WwWMIPL
zADMMI0GtAOkz+sCseofWm7/9PyYhmMbyL7QFM2L/48riW9bgwgNE9MVJIm1Mu0mXCQkuS1dTc9K
epcRNG7m1OvfX7HQzV/ffihqaFrQVbgWKVNf7mydaSoJwa/vbC2v3pHQwmxnjsCgfp6C2+j2yGog
CEfPEA6YHHapH0x+gmQQ23Ho+m2squrRiCZTLOOpTlZV494Ytuxs0uOH/uRXTrxhSATUoIF/Lrog
uMOa0UZnOzlhSpAL6MgnR8467tIr1Kv0kBWCvF5nheh2aFpmGF5EJ8OHy5RqbnSRKQUwuWyLhRMj
7nSqNtlHBN4dwbk7L5p0qZYie4zAT2jOES4I7D6d+i/S7O7YhLLlQZ2HA0AW21PrA1iPG/41UhFJ
Jm757hjSPQSxNNeeVnar2p3k1jLqkwXJ4GHIR/AiQSu2Wutm68Kskr0lderMVlgbEscxyoPnvfD0
lCauCduFRai7Nd2GvyT1mhPg3HFdUJqOENVqcUEaN1shMN1lWLTRTZB0/bvfyPGmo/gn7DdAY+3C
T9hq8fTR507wHKm2SlaS+dADUjvbJK5PfFTVfEq1a6v51JitRsshyZpH34i9aDM4jXXTdTp/0XyD
GYBeFCO9qIVsADQQWeCspAqaE7G++NFJE5LrgPGjWvL9UqS9NDvaLNFQ0FsfJNoDKRubOZ9reLAm
48PPfftlMJC20aeLn5t0SPY6nZt0UUW8SHlvfdDHrvxF1NNnTUpWjIS5/8CIcGoQzPL3yYHvkQxu
epC+XT/G86MPu989SrCfF0r2wdq0K3CcCGhu+sxIwMmYpDxWRJv1tDu3ABRxfLHhhEs/GAOcZqOO
9Yfx18HGeL5DjcoHGBM++zJptr30SG+0k+4uLab2rlEB/3Hl1zwYXkxaWQhRTM8CWD6svQAXi3bd
+b515fncTiYm9OZkpYwVTmf3sun9JNknhiMBLJeYTFCECjjUVSBuATCGN2MY63cJ6SJk1vb0PSFD
M4ENQ30rrCr4BrQb/B+lfHBp9D4Ea3pkbruArtfCWAmsKzLGjRUUaZIRkT4fRlWVp1Jzxa2gabB3
fOVcB5qpbTmcm9eukOGpt+zHQJbTDWpojAyD3em7Niodg3Sqho4awRaEksdR8K0BTQQ5tC+aham1
2rZg3v9pJan3qYU4Fmt8EMfKFf63iDb3mi48PctZJ7zW6ob4isKf70dAOPdKTAOhaTV3su4GWElY
ZekAiBHChW+csjC07vUhndbB6AnSvTVbbD26EluY8P2zRx4y8Ec7utElbR5GG5mzslqi2mM3hk4k
AQu8i7RuDqVs5WVrDv1bRT44yPbQvwIPad5nPkqpRV17Go0qYR97ZNnXZkc7KlSVh+esyt/GyO5v
qnHk5ESk1uVQl85JDBwCa5yLx1SZ+VaUNiHcY+PcKcCFq2Yapx2iZw96B7qPFD74vHhlRtDcVJMO
72gOlHYXJNzbK/rl8OmDXv+0iLGiw5cV0V0Jtui7TTtoJzoWoVST9ZZHw14NoDhg6at62xR9KFe1
IhiYghL8nm6Vx6x3oCRGpHvfT1gVwgXECP5OOyCqNvFd8JxuPh34tuG9IYrpMNLEPkLgHZeZjSxs
iY5MT6DKJf6eoYq9gVLnIAYK/b1d++QcOwOBQPpMu43IUecCTJ4JD7LMhgMC8JWxqvZapZMPE5W0
x4C+aWtyiomVR7jgL7ug4T4MBQWOAdTtGgF6+a0vm4ZlrEsZa1jeNkIygikiKl/j2GfY3rnurgFA
+eESlb1BQoJBNhf5ti9igPaelqi3Oi3EN6CojOQyPyaE1m+zxxHN+BW4Z4J05v/cyOmQAVmt9uNA
U58Drttf9VMyXNXoSdZQt4pxzTMMUmls6O5jMoNuP39kPKmU0oGB8rIdDR8CRdbo31JmWE/uzEDp
7Ij/FKuzRo4CPUh6c8nSoJF7a+VD8JJYUfHYxVJuG7/Nt4QdBet4ov2WcJ6nzaT7S31o04NTtG+M
X5q95zpeCngzsVewnmgN0c5i8ay6S7/RuX05OR9gQv34wkmhZgptzoQZRTHsCHCD+egpet3gHrtw
oTPEPiS1wJblFk7TEr7FiLbJFV9YHxhq+XHq3AkIsc9N3U2QeWp+OoUpc2krL6eemaexk2r52Dhl
6DhMTOpE1UIDc0vtnij5vmd0wU/vmZM4Fa5Z7dvMjL77ADsOaZY4d7Jy7GMgsC2FDkAuaLfd/PZr
3paDKBFGCuN274PWzfOSUUDpaGsMQUiWwEZusfZhfZw3u9oHfqMldE17NFG0IcEHFX4N9gwA1bVZ
jdabkGW2zhUPOAzH9ED8H5Ad3WrW0tLzj4Q9nKmuXt+TXjY98iCF17jWQhJ+W/8un4UaOJX8bVyp
fOtVpvPccBYlv4PY9VPGIGsEeI852Ag0JJFNSpKKpncfHdSVB4nXDCxvk5BDDB7q798pbYbgc9T5
soNl9hvdUuLSjjPYPEHKIoOg6ZDgWmUyNsQveYs/zy+6YaMBdH4y29F66irNekpsNV6yUzkbgPTa
amTKv9KUFe3cAFHKFGrVbRFJZvFVjvwjNYfL811vbCb+tPE8WsP6Rs/zgo2vTo52hW+nLKICkhJ0
WBwX+mawC/3olhibcz9p9nJszLWiI74cKt3iJSZl+7/YO4/lynFtTb/LnfMEvRncQW+vLW9SaSaM
tPQkSIIGfPr+kFkRN7W1W4rqnvbgVEVW6ggkCCwsrPWb42Cr8jYOreTCQl20WP9ey0uIHFpkuHii
UZy4XMJsvgFiFm8rjITpEUB7WHleXdwir1Nd+Gr28YxGEVjGtFBoF3AYmtSon6elpX7Vgx20WrS/
AAQ51drEhZgQaFkPqZF96wqFa3faqgsqkPVtANRgA9xiSFa64f9sIpDpreplyrcL/qS7wAJ7hkVu
jrNFkN868K53g2MXR3eovEt8KRHhhuWH05CYb9ug5+jGqUTug7YxoDEvVVAgywOUdRXSHthyNo0X
sD+R2Ihhs11Pkl4B5Oq6eRqaud5B2yrJgeoApW/XlrctUqFrSGFU52kvX6vJEsc2/u3kgBYDqKLa
eOpNk24JkrdkzC5F3HIkbJgJVcOV9DDcwO8FE7NwhFiCnme9l9B1ns2B5VQJ0GFOlFnfzATEmFuh
8AbMxvwGwdceVhBb0OpykR5LqfVvM5gfR5jLy31XBMHRn1y1DaXqLhC3HMUKHS4BgTzyIbfBZybS
1b2z3Js4EqYIpAIzXsf84ck1AKzi+ZiOVwOs9zW0TvcOyT80h6HoxIfeyt19ZjrLBdqn/n6i2Kff
6DZIsTJZIi8Fb5LZ/XrIqkd7LrptE+YQbQUEO+72OKA6eB1/UbUKgQDV7aMzOgoB4My4TOLxbkBO
Hsu6NkVe1fgZtjLYWW79yRlwECtzFV/xGuBqTPri9Dz7bheG3bRF3s/ex3E2Ii0Yy0s39rphXbZm
sCVDTI9i8aq1TNUdyLQGFTO/+h7Uxvd+8W5nu3d29gy0irytvQAoaGNekT1NyHisuxDnN6LVnokY
15bp1psEYY9dVISfwFzgCJ07OF4A+os34ZTg7e5gpG2G0rioPeEiOSZ4X2SQaeoPYPKJ2PX1LOJr
UafJuhihPvsZAoqrxhmH/bLk6ZdkGL1DMVugu9Qwj1sa1c2jcH08B8vEbOnK2Sn0el/c1XUhPkEC
1z4oCqdFQwzfxRj4j4HVIcRahjSKh1EtRxhK+JXibHkwUpTu6Zq37p0bdssdnd7uEUAiKnDVEKg1
quSoei2+v51xjV3HNOj3ZbTkO2wJqcaZZXZE9l7hqiTbbxFNx0sLL7EDGvVe1G2mJsFPchcOc1Fc
9vU30nvr88x1/NqKBojVsOya+7HNcbGym2G6ixe4aFKlms2d9jsZDmzFCmUbKvoGXisoq3XDBunf
b27q4hEFNFDdupg+3teIm+2GTHWf/Y78iv5qat+oMJKfUcsPjvRp6o9Aucx4BRnNeTb1CYlWA5Ym
aZiC4aqHyzQL3eu06uVHhN092jrtdCy9ZLycDFV8B0pKSR53+QbhPBnfjYGoflR9AD3Zt1yUjfIG
VWdE+Y9WYbtXneQG7tNpg1U01hjpZD1aYwq87genDiBxx55VYM44pjeNoX4WYxB+spsAMHa0hHAv
ACZ7fZmv87FSaPSnC0dhWqXDaoDmvvFVRyTLy/yQCxB4AtwGn5fT9qi4VYCEdkACWiDAerFsUDF+
Qnrt04zMAITqHIFkKIKbOgJUW1jiY+fkzqbw0WpcQWZpUVMnMwYc5VdPTVE1V3IpbRQ5Y1KpLez7
OEEcuhDhAEihB6Z+4LrkGz+VLAcEgzvvwhr88FkauPFw7wz33GKwBDay+EPpGPKKQ7G8I1XMv9KW
bz7kLW1KMYg52AvDUxas7TYr9mPj4XUPKtzmMiXre9exphryQTZ/KTofJeahm7C6tIefyRRC+6ey
e4WyY33pkNl+r4WJvU2sfe2N4mZpcIFC3Nco97IAejjxqa5AcE902lohbygEJjc5yRBCqfjxbmnR
ttf4xsbrHjDCA/v/h6xN9CY504DdI/uMnZZcjhEm93cFWB4IrWX6DKHD4eAKrC2Q5vi+F07zjTLY
Fzfvpy+umh+Xwe5dpAURbDbqydrnUBn2UhjOmq1WPsIYhb+Qpm334JklNm+x3wPZHUzMMrRsAyv+
gJKUu09TP7ii6asILt0QXKRVxN00t5NvGHiA+ycSwr43cHpI5uCJqw7nSRJVX+IqMDciiT66sztd
msKy9/wWe9POrXx0MxeYSNjdjhS1viVYH+9Gjcxg3lR+HaFysh87kA2gX8I9TMm5o77CpDhx8BEt
UPcpgyS/y4eMDdvhO4WT7ggU3I92nuHRDEztO+4gzwTk4nYWi39sW/p0cpL+VpR1/LWJimVddlNI
mRATXByxUFnEmxYATkd2izlJC5pmqh9q7BnIcLHQrCp5AeOluo8zw78LAEVjt+HbN1Y6Or+spK5B
EUzghYYsOcZ1OtxiTZxelV7hPbroA9bJWi2xMXzOa7wZAIjuK8LtdhQO+vdyNu/B6/sHxDKGdSOL
Zq8QTH+URFy6cyiyRwBL9105PCXDAkYSDtjR0aBCOXVf0qgODjmGyXSj5XwkkBqHyonGK1K5AG2J
Krnpk7Yg/0UZdsClGTs9Kb45bU6zNpQg11ZJmxbfGoRgzUtLDPFlCNFhQ7UE3hK4gqfBNmbc4XAD
i26ysktwDMNKd145XSO8XVtTRgab00U3terKp7oCGQ81INqnWa+dzqLqybd7nN3lgHY3qUrXOt3R
XNDZ8bg14AYHAMHzuCS1o1otVpGjqBtZYAytg4H1xJH9730KKv+5SsiN3bhJDmSF5YZyx/fezoYN
JioxUiScr2qiETj7XwOuIHO+XCFpck8OBXcloExkDKH1HRL4dOlqcUy/dSikFHV3m8TWYQS+/StF
vefOMw37vp+jX+3sGs8JW+8DqkNduvH6ps2gNMwa3GcF2Od5zR5pjQGvj7be+FIjwRE/vHm7EPq6
CkrpF04nMluUQn1LIyL/6uQ4PVjRIKP+GrR5ebSq8YMfce9PfG63UUAh/+3hzlXuHZotpousl0Za
vhwu6VrTApfBcL30nlq73XMDwOMgDsx32i2v6cC6qA0YzSUNp+NinlaWl+WfojaQU9Q/fhfpVTz8
mCVFegM1zmvqSubeDxfzK1BvbpQT9bi3X/dc9R61U+QYXQcE5ylPsAgciR6j2R2cIHHvPWwogAdS
J317lHOTyifUNWyTxufvSvdf39CdY3dwK3owv9sh+INSj4zUvLJc9HrfHurcC7kAKFGkojQX6Sbq
38ulmIcawQtAlNPUwuGYmi9+2Hz5fxtDL9m/XifzQNyzW7uDZcvrBe9UN6zeQyW/4jGzOFh/Fh+H
5YGiwssxoigPp86W3UFwgF2joWAf7aamWj5O2afUoNXS1qN5m4CU3wgwhBdhjN3D2+/5eutBAEK0
HXqlGXF/OWlAuEgROQgItIfEAtskMfTRKsDtVYluy0Uhonrz9nivvx3jBSHccduzreB077UaE6tp
IoeqnolSvrrHkyd4J568XosOPXQkI6nv2K8hv1FiyaUryhYKFOpYvWhwGxbjVYDm1TtL8cxIvISG
ROMX8ZqKHvVZtigVNtDgtbi20V86KngSXf789rSd+UzoW9joQHi6TezqDtZfy9EXVYE2StCAlTO3
XfnVCFGaK6CgtfE78gGvjctCLaXxP0OdQJS5qPpxhXbVYQDPtnFrN9HoPimBTY7DFkLH8kF5NKZx
jIuhjLmU+MyujT/75K1bBLYhFtEC2ts9d+mqc6iCVe5SHD1AzJh/zQYsJfikcUky6La1A4GGkjHJ
ldyWtszlMRjL+WZqBspYUCpgwVJ2WE1+trzzor+FSl52NWllUtw32QAWuLyT7VeWi+FEaGkcUK+U
HyPU8m+sMXxQvp99raC1HgfNWOnK+HM3F8kOiRkuTrN/4fsVQGzaM1aLSbg9fKhisiNUMFEnqx7g
mlwvMbfLqilakHMTRYcMq9u4yx1sraYGQ5HRDo5Gbgzr2W3cAw0uMEsyRJZ+LvIN9/jgqnDBMuQF
3h8z8XoTJTj4Bsm8cenbRsyWjfNKBK/2WxBP9TuH1pm1RlxCxgN9vJBz/2StxdXY0oZVzEtu9Fej
FTkXfPX5kOQdEudz7EyHtxf3684vvHxIBWD1gb1Ep53ftgHmNIFnP0ShxGwKkchtiy7Gle8IuY/D
RF6l1F+eMA1LLt8e+cz2pa2NoADC0EhvBnoq/tpWXaJGIx38+sBdV30a/cn60lL0ffIsP//59lBn
XpIuL9GICw//O+2h0xwh6VRDfahGlN0zDAtxThUIjRt53V34fZGF654um1pNNpW7twc/857kVY5P
QwyIBM3ml+8ZFAm2tLiGHABsIrs11U/JnNDvzVX3znnyeiRXBykL0V4TjVb8HV/MKBfBPmmsXGvV
hB+VAqhph/PALnKcf71MSTcATAGMAoZh+ifvJDDvQ8V7wH7cgqmAKhbSKvntNHn+jtvnj387gS6c
DWwc0TuilXR6bCVZKWoXxsKB3rpzMISqGxoJFHb70in6d+bw9QZkMFIbUgPkLGxtzfL3qgTGa6X+
UPFmhvuUOsbHdgl/5LPzlEz+OzmI3ssvYyBDgc9BsMYm5nsnQwELzlRt0I2FlrJ1KJhEjVeiQI//
8lKPuL1iJv/2TJ4fMSIVjTQA7lQgxwAUGSIXVBxaa0T6THxtFPjPDtbnAEwWi0b76u0Bz61IEm/0
j8k6GPFkRXqID/gyDgp0Z4cjZiMHpF5uM998Z5jXiQ0yy1jmuE4YkH2cyn+MoTlnGb/6MBq28WQE
+GWJmRPx7Zd5HUUYBfUpi8gMfP1UCmo27LnOc6s4dA7XWq576zIffgW1fw+7ja5auKwd1bwTJe1T
CY4QPKQOHIHnQfZHfuXlgoyrRUbgX4pD5OExNiE8wlknQMrOEa26334OPR7W9spoYB+tcaQU1L7N
YC/nNrkoaSbtoFc8LcprH6KhKCBpQ/n9nRa0DdJgYGP8D5E9+YdE9t47T3/2w2BawoqzEIE5/TD0
JdOS8mZ5oERVb3MV5Udjptjx9oc5u8rAVQJXxhH3FcusgtLg10lTHgA1I/LXjAcT0Y8w+NfqTvpT
YLMEqhK5aO6wLz+FB/kIu5CaQDQLh252nGISas67t9/mXARC7QU8YsilnLl7OcqSmzZawUYBggCO
7xhwTM0eSnbQdL+NOWZfbw93bvJ4Jah6AYbFyOi8HC6UmY+ZIFtUFfEPPXdd5t9XXfzx7WHObR7t
f4CavFbIOl3GIK8x227YPGXmhXeF5nxbsfeDimuz6xIv/D6VIr8AxdK/c1Sdi3kgYlHT5fB9femh
fmKmDhzIQ4InJlqxX5c82Yn8WeTLI+H6ndHOLXiuPVhwudwsX6EFYUSDIxNIkEECLPbo1AT3k52/
y6s8t0aYRKzCXAtW6OmFPxrseYD8XBzCYTKfs9RsdgaI41WcO2NJgT6YPuQWrjdDI8fbVtXFjVcG
zj4NAXYtSvh0l3KxsVqUIMoppCk7QFV557Cxzs58wA2bnengX32yXbq4Nz2EEDltZpdaoWy/WjJq
1kBL+ossCD8OM9WJQKRUMmsney6msb9AeuVLSlt38YU8iqmCqwF2d+UrQ6AazHu8vSrPzCONLVLQ
IMDwjPzw5eIvA54hm0m3YY39EIsld6YAURVjjdWor2+PdWY6UBJkY+PpAFL2NI2xLYUBQihJ7WPr
h0nBYVN55tdelfUhiOp8C2ZYvpNhnNl0lkXZnoyGE+tVio1Qm5q7pOH1cu9TmiXG2qZ1TzGzW1YO
Si4f2m5qN7Rkx8O/f1fL0hJxZDbWK9VE14jAHIV9c+CudtP6Uwc8t7wHlpxA/U+eVegl76y2c1+S
qaUMgPd3RCh7+SXZK5PsXZzJDDNp18oaaU3Wjryf2qg6VD4X6bff8EzY5AXJoaDBAlw91eCr4g6m
bsPUzmMChNuFNWm2TYt/lRf83wyF+BacQBJGVKNevpoI3ExWNVc0C/u1O7x+l1UXoEOeDZb1Tvg6
t0bR+mJ5uoSVVzjgEVxMvVAZOPTV8DSkzU/Pa59KSFerLIEkOdT/XsifAAbpwkbDEhz56Qa0Zgru
dr/UhwW1J7jh00M3dChFIJv/9vc6E5jBFqNSh/GHC41Df8+/bptimYCBxFwBy8T7mMzzPlzap7eH
8Bx+x0lC/2IMvUb/GiMy8iJ34TcfQPVaK4xDxbH3eu/BHnwsmsoJiltiTitv6sQGGZvkQzN12Kt6
NGwGnEMp/g1AopCuXjfQLLeGY1lb1DPKQ+bI7ri4bnpvRwl2omqMP8cCk7OqB6HB7VatwcLFF6kH
DXYx5/nOszoAezk9vIclqkBc1Bbstqbquz2ScnHEBWpObvELJTtsMi1DnHW36Ryke6vr1UXpgdMa
nbS6Ho1uPCB29JQ1Rb9mhrVaFnXTFdon4gBCCd21CS0O9OY9EIPFhKSZg8lXlg+7t6f33NrkFIda
CIWCPoX9cnb9tkcPzmdtghX82s7yK/6Nt65j7FA836LJ/Q8D61940riEap3sUb4HGX8ynpdidOgk
qj7INtU1pxsEhC8mWb+TvL7mFzAM9AkKf9QIXrmAuHOROt0c1Qi8FfdCZB3AofB7W3ygE4VoHv7B
nv0l6ep3rkzO+XGp0jKjXK5PE7JIVC0O3B41kUYtn9LZhCXUucY9aHez3NI4547TelW8lcXYbsoa
pJAx1ATy1h4vPKC+Xj4ZF445GDtLIoMdgw5jwYk9xA/aWFH+zbNQdZpm8EBoviSbSCKLm2HWvkms
+NEu3H4dLl67KmSODJBcRLLNeR4YhOInwG/rLv/toTxP7Q5GF/+9WiAy9zLfBkZgP7eoRL3zKc7F
dB9qLJ6iWq7S0lP21/7NzN6r0DKvD6b8qqBMrNRk7gtLju8E9HOx6K9xThOjUYxVCSm6PoSeNuyl
3rCu0nT79nY5dyD6CNbQV6Df5p966JitjQKU29UHmk7hWqECwWX8Y1MgDJ/26h3S2dnBqFdyZ0GU
+VXa63cEoxqjPUA4fsVNdNmPrtgBAwNQKbN3pu9cIPAp+3NaQNl7lfyWSjl+DpTi0CG9afcBPP5Y
fWzK7qfMIG+l/jsz+VoDWrsr0VnjAguXKjjt0yw9onChS56Wz2UK1cO2juHSTWhfebg/O0Z6cEUr
17OInIfMjNODSkA2J5jUXYdJWOzQm1IfoPSyoyAiu8s783Fu2fKdHcpI1G9fudpNc4zEXUqaM7Xi
pxMlz6k9PpYOzeS3V9TZcTAh1KIuiKGdlor70VCpAJRz4CYqqObIr7Uy0CkZuncO0nNpK8Up2Gum
/kdwsg+dCSX1GADWQQIcT3twblN93zUefuTWbdm0T7hyvlOoOLeA/xry9GqfL24JUMesDsaEaenQ
/ESqBoSrf+ya8Z07h3Nu/XIjpUlG+shd+OReJKfQFcscVIQZW33BjeYXwhiY5aA4saZ8m6wNgX5q
RUTeZq0GHBuWhmd1IH8iRBFciiof4zbsD4MNbBlqC2SDVHaPyRLhhYPU1rqK+3A3B1P4HHpEzZVf
96AmjH5GYEyXNhv7lznZYNoRgJmF+SVvBgw1PDSYSPmycMQfRjnZdsBe4BE5a4/D3vbeWU3nZiHS
TF1KHKzb0wYsWqB9XwNSPixiuVjkgnWw6X70hHdJzfSjzNR7UunnPrGmZ8AYDCi2nk67yK1EtSRD
hwxJP8AxA0oCC7ffjYMsZIxzL8DUtzfMmVfkXNds4wgizqvbZeSrEJsBpzxol4lt2in/uk7J0FTe
IJfaoZ4GDunb22P+xmucJKFgb2wmlS3K1fZkdSWGKunMltXBr5ZonU4Doj4p8h61o7zLtCnLZ2FX
4SbX7rW/ccphKsvnasDMW4Il2hvTBGT2nYc6U8QElUDVR0dtpMDslydrMnsLJt7s6H6JwbMhSLYD
lebs+hjt4AgDvRUrBfiUV26jpEvXip4M8GvX2rz9IK/l8kMkXbjZUA/imoOm8ssHMYFG+JXMKnjL
uUNrRIObM6dc7gFY1t4lnyu4QHXEu4Rn0SP4SBHZMir6qFmXjneTM5k7pWLzU4rI/dqWi/mJtLje
pxNLCtoEKiFzhEHvkP5UIDIJ2ePW9fN0C2DQRfmjlgf0cILtnA7BJkwukclzHgunnm/ZtjBRcEld
PqbhEB1LM/hsDqp452J+JoZrPW446IHu0J8Wjii35WWPG8QhKIv5MYWfe5j9OfuYWfhrvD3X54YC
fQnWADY6x4bOgv7Kpmg6tW2lj6WocdKNaENN6cHt9IjbcPLx7bF+f7fTVa+rvw63V47B0+t/bfgl
WkkZlwPUH5AHomEM42NxrX0sEHSocWO8tBozvpOzPd3YtpHco0cVrV2nFHuUj7s/qeT/l294T74B
dfi/Pt0rofn/VUJjonD2s5aZVBc//vu/qL/x//hHvYG73X/IYXDb040c8khSgz+GqFZg/8fV7U2N
XYkIbyQF//ihBtZ/+Or8OFUfT5uVEvl7kMvpf/+Xx1952KqGWHeQwUFS/zfqDdpz9a8Lvn4ci+oS
XUiNXzNfZZ5hMKqqgqH2MzWR1PlVVqh+mpuJo7SVoAiAqj/neGLLXa/AXqx7lMy973NM//LKajwE
WXfCcFFVKtrQaIpVjXsgSGzkXdP5Q2dWBmi7zkWuxAc7jPArjmfO2ELYcnA5XJwNd+revuWKLAJ8
rExhTAh4a1YafahEs71UlNntahkAsuwdFIha7NSyHPj6ukTIKYx39ZhDtYPbmqKs+E6F5QRv52r3
Udo8JDQavfAahdb0PjRyaAc/RT+NEbpUSZBqEIcLSeg6SryIIWcrq6tfKKxm6olSXsSj2SleZFTr
rCl5T/Pv95n+P2GBR0JvgzgHlsLzHcA7Oif4KwYFOZZITd8lPyy0alFtdbMERpU7tD3yOlisY7FW
IRtm5SscUUL8fnICVICml2iKr82MzhaU5sEzcuLx2JvpdomTRZt2z3yKrZRLujynHZbk0MKXovVv
lqWw+LEK02uutlyAhiB65zB9eXt0A5NJBq1BcuxZOnU6OcLA986ZgXXjTxM0v//o1ZnRPFRl3Cx3
f+3Muz/T9H92H9ADkbzo9IwKCJN3mhMreofRAnz5B8VCirwcz3HhmivbZIfPDu5Zt1MP0jXFgc4r
DbkWVhKMD0XmvesH+/Io+f0k9FzBAACWC/xXLTGLMgxA2Nz/MfZh5994QuVgojBsw7jqmPT+4vn/
dpI96p+EEofiCM2LU3wSju5GgB6b870c8B9Um1YJA+mMMVzif5mY6rcjcOFnpGvXNGlO71V2VpeF
yDz7B0IIfeb+hKMWpOlFLAbWXdK0eopL5Q9DtH37A79aSR5riJwMiwfKW6/AqU5X9l2UF/332Yzo
Xq9yYPPjQwzDgdl9e6iTO7R+Sap2tlY+wUiCUHGSluYNvb9ptKsffel6VXDIEMD9QCGRGLWWAfZt
4naOltisrhrYyr659Ub8PJ7zPhACDnRJQMRYMo+r6B4yb+C463Ss7RL2AyJq6jBMrotx79sPraPD
X9GDW0JIL8HlXujqLsppsmTBhLJn26y/10p2PEVnREX+a7SU4X1qmspvnA2ArQYvxLfH/a3R83Jg
/FRIl0PkuuifnIatGLLNLDrP+LZ4SJAua8ABGXoIQYi7mLm2nNLuywPbpAigdZcJ9qtt13WRWCMR
Yo9PWbVMHZyVcF7ktwTN82jn4OyoLr1KuUjWvv207IuTeeIBtUAS2wRmXoj90sso6yWT6Kqha76l
YUb2vcqhIi93vT8jJ7halAnSax/1ovdvDAws2E09AqYcBrWvFMEyKtxEfWcBVvkvHz4hvyGD+QpL
cbTcJv/1JwC7EJLGB28eEv8TVkERDP0RfiMrFW44FJVV3UmfYxhJxJEvklaxDtFGTzdRbWw8qPBw
TIWcP4OEIIVYtcggMxc2UtYEeSww/Dbf2W7rsb9b9E/mO4GrQ/XTnwYrs3CyjPvlju0feZ+o0LM0
UaHLeUZLEzBoZteD9Qnyp4AOiNNGuTwv0gnGp7Fr/fEB0eySn03rnAiygvbS8M3slNompEVwQIVa
51CI2egxXTNeRvMl0gTn39qvvVU/5TY/6VtZzI9kftBX/t4b51TeyymoOMxUO1MSW/edm+PCmicR
Q0OxiPjxxZn0aEZC3/fGiYqs/dyi9DAeYhc/r+vSrUO1n6x+ri/T1lDDcZiHmbU0h7GOfAizWuoy
HPuUw9LEYZJ/tWFss9sEDEa8TdFpEgW8nT8v4OUy5VVrQGp+vjHN2GBCPbNm+fXgGghiJewdA5hh
H/v8KwsEIm8AhYscDZg/v6MVrdEh6RZ7WbpmyTUTfJCUYjFAJSdTDD2D1MyPyml4p+TPrLqoczJz
XigGfmCaZFrgJtgNSINAftUjOkZA1oaes8+0CAVLVm0I9Hq5NJHk1HKKBgbzNo/9vHpA0LIJgl1O
oZjlIpAXYE+NdRSxahI0J/lmzmzyCwElWXGwkwmenM7RcOdMfW+reWQOGxwStTQJgZGad1iC78k3
SzCE5YQ2cD0WGXJ8tc7dcmumqrlRPtkiL5GjbDFft0481sm2we6SJw7skSiw7RYk+Cvk+2O9fsEi
ufwpCVGGHo9RP3Ld3DQKkqncDDktxZwvLwPOrs5uJI+keHv+44RvMf9yUTx2/TVNAragCtuCleLA
kXQPI7ADHi+vslDnbfFoFtlNz6Xa+5QNLn9YR8CteazcjfQct2PFDA7zBKVwtYSBXnMlKaB7yCVd
vmCXmLpqu9ap9fgELZ9/tlZYsoGDXBIbSB0Xsgx8dNnnqlOLDh4IxRdf89bp9JZ2I/1LYXNbfAmv
J2+sVxKZgPEJX2McHbZpE4heHcbZ7HNaV9QP+IVt13c830Iuple1k2XQWEURLViKzmGpvTdy8ylK
MYMYNxr+rSMTsCXUIHzT2HkUb4SzkwVKTOaGtY3ZTDKaYrnzENNg+Ye9xvFso2qiAE6iMDX+DQJt
Y0GPzJTwdNGxyZ3strHSTDseaW8WohW+Slh707emrnqR4emYwY7scGXt13PZ98Z0iT8Sl3jUuXG+
+d666NJ6X2vKVLxMHecqaR6jqo3d+qbpm2gO176ZuVO5JRATbrbSSXIF00wMTaQtdvwQAcgYOF6K
5GwOeiRZhQVh1v++TJ7hpjrYKt45ylEqwbS3S+c0Ta6KJh3gCEh0e/XiyfAPZSUimNmKXaEQ8MHe
d5h71lDsZG2RXDYLRGr8fe1x6KybxXMIlX1bM0ubShv71KvZRM+xvekn3ybk5nU78JVqGOecBdhB
TfyuqDV1FERvPWLlmhkKPePOlGLiJ7nCtPydREiEuFSYYzXfR2ijspBSPLMJT4jU+syfTA2iA/ZL
AXvBsmXPghrbDozeBV+/pRwWqoSVHpb9woOnszEwtGuhviN2hEuOIwQ7A075KoaqQS/DLfUhK6G1
sRxnNFkbLMfDThEfVJga7u2MdIjAd1ohNHSgJwDZchs2XdOtFhyCGd80pkJ9x5OY28g/9xCivp6c
Cfsqir1FR1TFZjnNJ8e4GBC66MSKgk6yQWUbTQLXHOL2MW5nXj5rOPzVdlTIx4pdQD+OWWqqNGBj
5zgusXjCDLcMpL7/LOsqm/TfKbdxWLj4HOvE2W8MHe57aA3LM7x+kzl2gi7q4LoqSILsTyPJ2Llu
GFPeW01wRsSNnRF2N31UdNKAU24p/wtU0LJ7NKu5fAIGHeWsoQ5NoKNfC4RjsToYxHdRccZcokdu
uNcxT+rA9hMZIinE3GVXIEVQ/nDzcukeqsavuq/IO5XT7RIZpbmajFLip+h4k6BXiRipJ9at67j9
sAN5HI43XZvGM8pYFQqjV07JsbqNQzla65Zv1BHk57DVRah6hEOO4jBGTqT0dHKg6Lu4etvRSnSG
kp8Bkg3uo19K5SZrbKyKGa+h0lZxg38N7x+zTnHEuZApJ1kJ5rKcEHKIsnIxu11so+N6ObM5sBOX
xfVkmpbYjVGQOBuPBG15wtoqbTj4fBkce6UGlItdaVugVohwCsVu2UcbA2MilBRow9AR9srkQA9Z
btrGnJbLOKpNFJQmmOG7WCDALal4lRCr09jxjDtRNJX7YehbOAN7UwRKtGCLgQU8QX1z5DX6Rfgq
uIgrLM8SQTl0lTvf7z4sAaT9ZlVKP+jEPpy9BA6gCT3c30Qzqrb7OJP5vFvQt6maFdL+jg3gtFv6
NvxmVXlY/0hpOo4zFGyp2p9R7jnDsB4C0QQr2+k9aaKZUbdeuBnQgS79fVwZBTojVmAUEKV9TGrK
9GcagtuJLMS+i8FuNpYn1eJvfUdCBL7pbF4mv/sn+0Z5EIX9BxSEmqbHwyTTByoOU5XwPkzKE8Ld
iBg3s5F8ykzIUdQIK/Shj01aZbsOoSzWf210ORlU58yjPlZglevNjcKfPms5wNkOqevrCAdeS2eY
SHThULnLocElpX4xaCeXS5sYpKRe2o4cPWjp5JwysvbwXtqrAApPvBu8Rmd/lLb1zSHILdxe1tgz
0M3aD22V+Z88+jQ8iiWMoNB9H0mtQQytR5j0ejTsn8LCYJb21LjJgtHa1ll0pCZBLMtDbNKnS4AQ
8cQZXvU4NI9W7S/OIXIx30GgEQIIMQURKZMXJS+BgrD2PDxFCIiAOjijJ6hqpCaYPEsmSNSBPjnD
dpp5UtRvA8YegiVolkcMAFv+rkEIlF9m5k3MXuq9puP5sb7WcbJwg5IfsXMr4onqWPRW9xXLLp2v
RvFItLGxofe/wSSsm51v5wi+J00+cixKgZ6zc6xFoFOWFE045gj3UF9avwajV7hOTaUFAUG3bagb
rFCuQUxiFZmdx/QTw5VOkX6Xe/y+0qfUPyeYazXMY4GBFhHNj0AFYebhxAYTKRI8tmBHZxWXjnJA
hWgizOT6CYYedQnQlv/MxNKyhVaDcBYy0qCm3/rUVNKv3E1hIf2BHoZR6qWYmeQBD16FzMOnsrOo
Pf35jByYlvXM9W+QT2Ebz7yxg84x32jox8DqbuqkGKf0DiEYM44+j0Xg5Tj8Cj+ppgvgJP74tGjO
Sbqy6KtQfOrQMsrSC7rwOqkwZZ6Rgk+20hf50G9ZLBX9GWvG9c8EO7ZBzo8sJcHkh+NybNAx9A6m
SPoxvFtkajfZlQ8hl+dRi6v3geMgU45CakGSCR7M1VukrSC+3yx13vIDOG7qRA2/Y9LD1tILzImH
rLX3rR2gvrJJ/pyu6TgmHJoDNoRsKMcRZIG+0+l8U/p6PcJNy8msTWYg/4X/Us0f+O/6p8lKkPWY
yjDguLRSnstGZCDQqWHhDzDWN5Yj9NP+2R6F9PgutAXwe9p3PYGvusIgaky+jMiZZMg+WkEBeADR
Nb1MM0VOkO/cztVrt6yxYLtGYzwZ5SYpIWQPWCLiv0JSOzWKbztgVMVY9dLxCqYYM12sALiUb6Kx
4cqXBFHWff3f7J1Jd9TI1q7/yrfuXCxJoXZwJ8rWaad7jGGiZQyo75uQ9OvvEzb1FU7q4FV3fM6g
TkFhMiWFIvZ+99uMaPaJL++yoe7ZXGZpiQtLkvlF7rptss4K3VRNYFrbdGy6MakH0lmkUlzTePKc
+9le5nMhTfonBwujiRhpE/3B0xhDnqPqeq18ukgfqTW6ymu52mQiCHje/OyIvaX0KQwmXPfovsqo
EfyKDEiA41lD6fqMP0uzXBNiqusrgRUk7cgYt1Gn7T2nFsM9CR2CjGFNGtx/LfZV082MUVVhLSaz
vHcuKZb8ZlTj9XIfQnLgqfUFgG61njyNOWTSjnZJjeLb1fLAXVc77mI0tHtnjYsEt1P9A8vJsfl4
oL1wUVtlzZ7s7GsX49x4U7oTS39vYGVEq5J51FGvr145EiWMg4yGNwAjNJzaO0it49iphUFmEF9T
C8WsliQ8L1le6dY0lQ03BBFizI6PlYlS3rrqFadbjuqjgx0+xess02gXxuU03DiTu3Rn2L8Y+d7r
THoKDjbNoj4QUz+ydTp5VvHX+FbfslelTakqUWzg2cXJu3zpGlEyYjx41uDEyyZFwT84qw7kylRT
z1F1ga+NRR4u6kvjLyfnaMVbNpMl0HsLHa81eikLnSZJZ/Ujqih5pIkxqK8+oOrFvpLZYtj3G8LB
rOzo1oAj/EFI38s1katqw+p5jBommQSJJSXOLglD2W0ZizJ7EtWkOvT5defwJyh3BFIRZMm1/Bk1
+gfMiJE4RFMGOi7ygxPMyJsqJHmYJXydwl71mWOs5TAINWtucj/ohpbrfecjT+FOYCqSiG1LwXmI
105xVnIhS0/vnf6r7Ug1vXldGrmnKWT3z1f3+0cx56bGVfpnwPPTqCETB8hlBJ34mlih2p8qFDIj
RSGbNXvXnz/rBQ38FS2EZw1MDSsC/RPhlKcwZacbXS7zTHydRDHQyAywNViJdk9Ox7yK24IJ9mZx
KjaNgbyADhBlzBtEzHVPhuclKISabDCVVQgPCd5qr/05+ygxC1Mlkos5RXLhYjzMr/789X+7VYqb
TmGLfxDtuHmqzZzasOgj6dpPfWJMfA8OKNUWcrjSQv35o35bc6Q+ocpg/o9j9e9mDJRRicmkuH7y
Y08M8x47zlQ+GIurXhEnhHf53pJTTKU3j4YH4zqwm/lMKCenPtxt0wkvAr9/wupO7VH9xMt2TYC7
OiDg8vIqhz71PsXEzK+/58RNt1fsdoX9OpD+j2zW09vM1BQuKyAtY1IYKacrUpZYEEs/El/AJGgd
Z+I05mevxK7+PbLH6V02UXVztYg++DTAsZOZW0ZhCGk+Nb4MZeVmx77OVWuepHRq+zE2VdX458f6
lmbD0ARFEbAzQ14CrCma1KX/MuTrU1zEPJwlv7S4G7KCWhGqbY5Ncea5hm2TT5giJxFmXCs3s2NO
xj9/gRcqw6+PmVILSSViTteF6fCbQpUuMc6NGit8zJpnfM+YZS1kXDYENKW717JlbGNVGuMKr/bv
n6C4ZsN7EpvC6UvOBfl6c4rUVhAP0P+sXkQSMOkWsPMtORKQtFdet/ZEr+EVlRhZz27tSlsdluM8
VGO1Jq2aFx95BzN08oTdAfDIkO2EJ9aYAdHhD5wlZn+WMFr2lnWVaep978ZOlV1aa7rK+jZp1HHu
1Am1jdsJdcTXdVvztdxXgL6jtGfXzDJTFU0p0VDqeDUR+NSrMC0w+wwwuJfcfw/pOsikOU6jAlnK
DFj2z7f/twWHYwLsTBuNqQkl/nRpD3QWsaYv8+cqbgQ1a1T3qgXyl15VAD8h6z9/JDSEN++12moh
ujKj8eACuKdKawZlc990nvzsR47CGAcIfNkRGoyZaZd6p/MNAiv3B5qoySDhCRA2x47tvUHR6ZUL
gSKEndNBaMM7d0ppI0O2lDzL+HNWAX8ekqLti49mJs32wuz6d3iLpzsI3v62K0CKHDQoynb/7WuG
ijlK4rrrvowN2rkHO3XVskjTWlVWf7695skrzd+uKFqe7qCXoinVT6qDSE56nhMS/rHsegzesBzH
/mgbAaPS6Sap5HTAgHkp+D8XwIZ1OeFW80CzZrdeUAPrAsHQ8qj5fS1x9wVHQD9BhY0ICimUyybw
HFdprGCtSVMwgNc7FS/h6DkKJs4KpiP3o2YILk7LbM4icgzVpMgYC7Vf0xBkU3Omaeyj+bas8LB8
J/bx5H5zD6Cho2aGzYQy4LeJqW1HvV84w/RxKFJ1MqMHUK8cQgc65z/fb3GyntUzZfNCT4g2U6Wm
nOzZBOiAqRpWeO9Z1ctnDTbQKcR/VeoPbPVsQa+z9xySDnehnEqFkv78VTtii5jQIOjcXNtyFZ5J
L1iz05lFh/LlTMvSQVsuOl5Vgs8SLFXkbhYDDdMmK0Pa42RhUxu3Pwd/TIvUEEnDqIR3Z/H0hf82
VoV64Iud8ikYQlIOu68N+WiAgPZrEqfUk0yNF4tTd2Tjr9Z9myhg+ecIjTeStZsy8+DcC0NQDlwN
jUICgfz5lnpvH59Ki2CSj4GAjhEDoi/9ZAk3XMHo6XX4nI/CfUzb0ja3JuPRvZN55CHDJO+3kTX5
57OX5OG6tkKkGGaWP4xYpmP1idiKoWkkAl+bcSt24r75iAWR6K7ziYioVeyN5j7x05uCUdvzWFtd
jchOi+cVsxznChpcdR7rSXfkRIoXuvUYa1GtS8WnhTnyeAixHbSDOofOvwY1zB60RcNVsc+nWK46
v722OJWyrZVr4ujO7bju67nZMBPPHwjUtQ55bjIlSOseOK/KJCO83si/wJqwz5EW4bc8LI1urEXd
uvcm5/NTHVeGjRWLEwNhRF23M9OyvJeuIEdXiBgelK7hQaqB233OBr/7Rj5De4eZcUdZFA6Q74d0
y5hgrgmvYri8mvBb1gKMr8ZDTtIxXvQQl704TT8NnuOAmod4bmJiV90v6QAkZsFxBO3TrBVqmBur
n/Wv5tx3Xwx3sT7Ggz2s4skpzjO3S0jxmpN3KOZvN2sWBGNlNjOEJcz0KRROFkQF/OM2dlR+43lN
10Qml9nGyas+5bHpzsd3lt+bA+r1w/DmgJAFt/p3sWlITBs9uV9+c3S3gCM06fdGCb4aoMc9jpYY
6P+I2r1hROhm79Rjv638l8uEq8PIhk38tB8ZlMd6ZrXFt6YsaVxhWGbTthBEML9zTLz8TX/XXS9X
aWGSQ93nGxzIp03kZBaZOcKV+WZIlXsqTI6LgIwSI1ljPODelpjH3yZdiHhYx8W1XouR6NvdmJD6
MOU9tC/Ies5V67T+odQa9yPnLena4Ir9Q1FQvJh9CY3X7A3rhsTl8kcxCO+iBJ69ISTW/OSn9KmB
URk62X5ZdCUK3BkCDTdB0JuMWZwhfYC11p+/pVXUM0oY2i1R3voTIZ5itfD83qmFTkh43BJVBlAG
cV8EZ/RpSWBobjdZ3rx8Q4fIzY/J0N6JCk8YfBSfSsPPPwvNn9YDCQF5QJCgs7dKxEHrPy8/Wy3m
N08GSyHV1UEGhDiG/d3bYsHIwoLxAX6jeErmGXBai5Etmh4fD9d86dejVUx7tyCCIUi0umDaUxV7
PFH941g7Y082ZaRdLUZk7cVCfpVN4NSXIgFPx5JKO+Kb4hLOOe9KUYh7MND8qtKUd7XDYAwPt35i
7ALJPkRe7ru3lI1jtZVW8mN20uRSuIRgZyDF+ySq6quCRNZ+XYXd8HXGR/gj2oHsRis9DghnMuRW
mL0csKNMonvlvpGu4kbnAuLJ8IOxx9+W+XWTMgjhTLyzbM27IIfU+mSAaocEXmJK/M6yV/fu9N5a
yhyKQwqe7KkcaQAS5rm74bcmsexLZTL6UCdintdZo2y0JL3EO594Ep3MqnJps2DdwkfCrQ662snj
1M28LTg6v6d1ah2AzbSCnOlZOweoTLcMInp2ejtqv9VCzx8SDMUuiD3Qb4jlFNs/L60XAcPby6fU
ZPtEbOaqdGm1/fzS7rWSsGIPT9TvEbYCBFeGVfilahe8aJtiJqlQN5WfTYGIP+htsEKi3R17H0OH
XYOT+D7Zkxqu8m3luI9Jnyu/hBkIvdS6+Jg5ZEo1Avt5Z4ijs8jGtTGokHfIAP9Ik8jWWi+QDShv
BSJj7XqncVu2adZrR/LeiAQAytAunC6er+dJcpyldlJvcV3rG7Q9SXZRMOalohQFrs14GpVQSiSh
OCNDzwc0vPOGWqS767GawQ03Fy1Sb+gyrETGRSsH1O8ay3RsXl0YdRMTTeZKvZPnEY7Cbn2Utd91
QZXUDrxaz6yMM8gpEs2vE5mf+rZKHodS9kR0mAlQD0aR7wFfv+8/rBQf0hzUNQwHfsP1hMkkFJvk
7LsS1boqADT9CstjZmrII6Oncr8t3RCeOaX2dR5TWcIeHevi/2PBEpZF2Sxgriqtx9tFAlOqQxvt
5t+x05uH9csDwQY0zi+S3MHlYRn9+4bAsu3sxOGm9sPpc+y1Y806WYz7P6/YE4Du5e3BLhNsma0D
ruUpY3cpBjlW2Mt9j1zduWsco7s1c01buwC72DwXw+WQN9hdWGVxlk/COPZY8AOx5/10TQazByG5
lONFog3iB8z5htABnKXv3vmWb3sA9S3RigqbV1z56PzWRo9FOBd+Yw3fQb2b6COVhd2tQBLnYOj0
8dLEJoaZUrc43tpr7epHTARMFiyhWcudcKvuwfbz6EJ3ZfbRbK2BCQmnwBaNZs7tjlJChxvGva8P
+r86i/u5/v5//8/TNzQr66SjSXnuf1VNKKCDpvl/Ixt/E1pcfpf/c/jedt/nf/ixn2oLV3zAeoGp
kQUF3wZEpmR9VVtorv0Buyk2Bw4SXRgm/+Wn2sJCUuGgMfCA3ZRtigLDfqothPeBlhUpH/9Ff6HM
/iu1xW9CSQAWPCJJhUNrDRBwWjGbvKCFGOx2749aIlZlK/oNtKc2O4/D0T6fsL4c7yKbiIhKT+Lh
bEzK/iauGcztMpz8s1Xbjki3YpW+QnwPkAHhYYFZT+SNRaGV3CCn1HduhhFm5DfEYE2avIwyIxZr
A2rT/WSW9iMsvafcmLHszot7rBPsOyy0lxuY0/eVisjJIT9yRpAyTIy3QaI5JvTLkakOimsPwept
x7QfmlqvP/qZQWC4piXmbVnK7NC1Y7+pVEyNU/ODUiXCIF6cLoup6taGZhi34YJMs+g0/wczp0oP
GLDhQT8WS3sWQTQgsGfK6icxGv1mkVgXLhaeUS83ilEP7ED0hTx/WnOt46cltihndtYu3o7BBV48
KWEyC6YVK7owfrCzQezWZgm/HhaNX/ifxhRiw6rMPR2P7H45OjWBNfQdy77QCUnuZdeejRruVIvh
IUYtSe7bdknvYwBRiSGIe7+1lRMGTvOSQA4k295QrM060j4Pg7DvvD4tisAZhHGBX4yv76RtEHqU
5S4zyAhKbVt49JLZpPO35UU8XXl1rv1YENytJoEBK9KZ+JuWd9NljfXj7uX7depbsbLxc0z555mZ
9zyMl5hxMJCSEJuW5noYZvJ/PAKwE9CzzUt+UrmMiB/dPjEvIhAeoIqhh1Z64ZhhDG8uN7Jl7/C2
im1suxl5y4uKyEjDRaOxrJS0pDqDXNSbAVbow7ZPIvORyGYclox69vQdS0UlSxesBRIsDgyrO/Jf
TLiUXWfTdWICd1cRRf/QYgV7F9ft/NjUcXcBJca/T5mJbmNhtg6VTgM7gtyY87Cx4k/YLggyo8DG
tJqHDemTCADm34zVKi4yBUve2IuJUNFGLBVkdtPLwPF7J8CCafm8lHLeeRapQTT14od0SLoANy8g
+RhimeA7moQKwAzU+5hcnoq/C4f0GkqXY0oTDd3IEw7GtnLTTR9l3S0s/fkIBSFbiSpL8KDXw2Ph
FMm0Ghmy7ECJjW2bx+KBwS0uWd6kVYzwYz9fT2gzPTwXdGqgynqkNB8uoN18ImZrTlfz2BB1ALVN
WzZjlh+LiBi9VWc42E5CzV5RxMLVwHT9EIUIQUkUJwZgWfLqGo1IcdNpwsEMby6uSZE2DkNU+oFh
NtGmAIzcL/CxNoBxywHHuozQFlOKlcxt8XHCYSmAO09eI/AFLyok18DqMl4MEx7nypVhti37cdpA
sYVNpYfpshpkp+2Al7rjIPz0aoJNe15q0r7u4QRtxngkjE4HTR+CCPFOSgSYb5H10+A4D/rpPo6L
lhxDw4ie5zZN0dNVZ5DYnPVS+wRsw+HFbcOocHOYU+GUhG/p7tPS+Lz0WtpO5Z7uvrlrfAjKGzka
8WYgSyABysRCeLJnfbOkTYzFS42xjF5XD5pjzzuzcXVzI2aNSLyWUlfblPNikKid9xZ09RIiyFDa
UADZKIxgyKW+Hh1nPpeILG/iaek++Vy/OLPCZUrPcJVVuRVLREJ8SIOEWmlYAqIYMtIXS4yoAr2B
H7bEbmXQPdXtqs3N+N5xI30BH8MQx2yL9Hzs1WRibOlqdODAJBAYrK1af5x2sR6VK6xAn6pFbzZo
ysyzKmzcy2oetPssy9n8B/I5t9B8UsFHEE2wglbcXrdelh3ccgS6kmzm1DbsSp0zhJ9fdhZgz/CH
PxXZIa9U2JexGPrrW1Rj4X83QUp8oA/xCOXQ2VZHs6Lyd2dOGLqKcgexoD2rS/w7eR2keWswn1lX
fdxO69IEgVtBDlrgBUqCi2Kp+eUlp/182bWEt62rCiV2N5TLsUWd8opB/bdceq9cYlIj/lQuXX8v
ydXLx6cyeaNORa6ifvCvgsn6gEEP4QsoyFVR4iEQ/VkwefoH5HiM4tHeE15IyfR3xWR+4LcYTCpc
hobEZkr8V8Xkf3AxaHFgC2CDBVj2r/SpNBNvoAGoDcAuKF2Voayr6A4nvXFeiI6hiD7vbUWcWg9G
lRiE4EhxacKM9Tc+ZDyxKoqkLbYSuYwfmB1Zh5YHhLVdGiDhVZzr6KKbrs+JsfVtR2PoGA3r1n+u
EUpcSfW+F7Ohr61kYK66FMjolLcEsgljtvACzs2a/rYzsJeAddIHZkxY86ZN42WHmKl6wF+qPcxq
92HWpGPmsywfQ1Njc7LQvW3aly0rVrtXlKmNTH/Z1OAGsL+9bHXZy7ZXvWyButoNSbUN10Nc7hPC
rb5TNkXPUu2ek9pH7blKh7WvdlcaajZaajQ2XYgCHTw9tRdXalf2vSg/H9VODau6P45q9zbUPo5E
ly0dH8VpA2Ml26YuSdorW+3+kzoHNHUi5EXhE5dRh2wG6sTwWm4zWBzHCBuQfiidaIDAxCljqvPG
9Lnz5NQYB4khxXWvzqVenVC6OqtSdWrFLwcYoovygHsUAa7qfMtk7G7pL/V+1XrFsXSNSN/MrsOh
2GYgMauSo5Lavb8YODw7Jkh3Bi4bVHvgZ6Q1aGlUB4U6c8t2EA9TnpkE3QhvV1DJcjgvYXiEx5es
Z6FnK0yrlyMExu7WdYg52zhOaB8EQ54fneaUGwInbt3xmizect1Jq9lZkX5tDQMhZF1liktD64bP
xlxHH9tCTFcMmO0VA60NDBh4skUGhhETDIz5QX7w8za88NFO3dhMr4+ZZX5K0AGs4WlmaGKGeVs2
UXg3D3azcTQbqxtCJ/XK6FdZlqa34dDoV/BC3XVIINBZ5FQ0AMLbFJaUK3KHqnW4VAWuVGMV7lM/
tLeDU2Q/fCmfjdDXtpWFDR3Fam7cssijoJsY7QEEFMGS+2JjeLZcZ8D6a8RYNxWrbYXlxzl2AnEA
ld9Zk/D1uBSJHWDrom1jUlag+nl8yy62V9EQhZARjOSQQ3J6xLUjOqvzuLm1CXM+zowBDwzMmjU5
YfOmNaZxhZtgfMl4nnXDspUoDWZzV89xGAxlnKBWscJsVTuDveGEmG5n2dsBUyOrinaOVcyR8dEL
8ynZdsRXipquZLGcYZ3KOIq9W4k4jUDgWfO94c40M1ve2R0iUSuwmyw2HgyLtbDR7TQhXVp3b3ov
DuNPk7UUTAIxFxfb0q8oyXMnIYHPGJNLnwi+Tz4JQDriFqMlgicUcbuBacucDpfiMj2TlRnXQV4t
KVeTkpZY7lpUTePdiG+zpKNKGDgGTFhTcZkJoPbPBJO2S7lexqx0UczZgPFz7fgLY0hzYmcjCin6
DNAfkcUQG4QJZVpVsDwhZ+qbiaolghybTFw+1BA3Wudp6XmbphB9Fu2JRrU+DxVQ2DNEayNzPnOP
/GEM8qGvDsDMAtC2DLOeyA9Sp7OzVK8ICUfPg7jpvswGB4ZqQ6o5A4LWDHmxjGnzcvz896R+56R+
9ST5z7jGqsqr9ulb9Suq8fozf1lI6OYHHSNwn0MYU6xfz2hmsR8YAFvK7lj5krhAYH+jGgrbhknE
IQ6ZRAEef53RzgfGS6YK8WGSy9nq/xtU42Um9Td8beNo5VE8kJwDCQjB7CkyqRdxjSZy0c69PmxQ
5hoo/efhsR19q2wPqY4fAZ54VB9xugMFdBL7Qvh5IQms8wEH+sCuZl7Rg+WHXiaOpYZu3pkDrY8j
PWW1522CnWSWEtu6U4neSXKBQHdsEILyu8xRwwbw02LMMZJJTrTywPEZX0BrwF+cLt1zNZTDmlxp
KADL4sA0QAyrTEglUGvIPdU/m2ULSahyEEXPd2S/KQaMZ4F833gxeZv+VZL0G9n7FhB84cFMWdlD
CeqdDxBPZwpljf0rwg/Dq/8LB746pbzz1mDtq+Yg//m1uY2rb9//56zLn8pvv746P3/wr/rW+AAD
E/8OgHOoTdjN/299i8kKQLpiG7mUsgop/OvN4XUzDV4oR7lsv3lzgAoNC0D5pRy2/81b88r4+eW1
gbSrXIvUkJdXF8cEyutfpz5NGw1t4fv4+xLNi89kjPoxwz4A5auPiNi0H2Uxjkc4AwkAQf2Izat2
pkv30qwGBpAFStJ13VkFmF9RXuNx+WCHEJogQMBfqyxswJZBI3DaYKRkzRq6X+Y3gde5lzXdWmBO
xnU6SfQrojg6Mj9SB+3Cvg7hl9g+zX5hE32Lkos+9cegD8llwX1cKW47h3bVIPyDLDXZDJISfTmv
fP2aMQDkjlbiM4K8GVRuM1t4trZ98oO4TKpaXC+UQ9ulK6YdotgagUr5w8/KIzDebUiSJiXksLXM
7Ig7zLWVzud6xJ9qUy2Y4uSJ2rtaV83ybPf0saPxjDP5Y0OqcJWHJPsUscBFztrj0+wEUu/8DfPS
BRjLuzR68ZiN+ZOrL4hJInmrt9lR3YGe2hHtSP4jrdHLdFGfbkU+K7UR/KQBuxeGWeN9JOStV04O
ym2HgMPcf6Zu9ncGqY9E7J0rVdfZgt3VSpNwkUkIWll2csAGxoSTPt078Xwra+sxFtkhmvKntknp
7+1LN0YnEjCg31hckJrmku94DT/F3c6i3zY+AcCa9WLvgn4LCm0A+R64t+JGmTHyP3Jzif5VZKAk
83sl4KjO+5oqBkoY9zIungYDyY+utsGeOmKlPgvLmHmjIY+QnX7dm3I3xMu54UUF+6N+jjoUk54s
/iHYHTe2kRyzbDqn10J5SexokJKeS+Dv/LCEkP8Q1uXrhNiGddbxQWPipbRY1nKBaOmAC+tDazXI
nO3pvtDt9USAC0JkZGTkxjyVsHc3uTk9e9VyPpoRyuy4TS6zhiHmpH/1GnHly8RYOdLYzma/X+yh
3TcTQqGGOXdSI0ZrxT4qeEbgkfkq65myD8Ny7lQzpGuphGTCEAffZSXgG9EHjVmIoO70hzIynn0h
AW2UWKqPSAlEq9K0w7015QhYUO3oToXcvJjuRWjExB33UMNM+s3FQWhgGAkAp7rvyNEufd96rJoy
3ToMr2vIYtte/RzXGeA/zFIksjxx23mvgjMDCqvL2iR7NA3pSt2UcW6rheONcFh2+RSFq7mx7BV6
tXHfuPN4aCp7PMMewTubRk27yuI53zRLXVyVBMds9TgfD0hQu5Wp5eK5N7ov89g6F4aX1VTpU5U0
2LThBYSKB4h17eJC8RS6Fam+UW2iWEwxx36AsfZQTBo1NXC7n5BanKymOLy0yuwL8uJxlU05MgyK
xEUk65qU6k1jTbGxRmXppEGCJ/vBeyH+uM1lrsXXZWVVG8IHHyqMZ5CE2PZmHOynicjL57IkDLvU
lIec0wSeCzRfL76zLZJiwNeiCq+N3kZ6QzJFsKTmc2VUddDh7RvEI9LzyURb5lY8N6WAxeUP4VZI
9z5BkL+ydHdATsSimzP30dWcy8FscCYY2x+abM8t5z2q7lvqgpJeMDOikoK+QDXF+P7tLp6kjjXA
Da721sgoUAy4pobedJnYDbldxnvSAg6lX4gSr59G5QbnighIXJxPGFe0TgMWIy5YKK/6ujSyg5kr
Vod4V+/xdnb68kngOvg8mIA8PhOwt9clXXcSKSDo3uyzJz9kN1TbcWpIPCI6NBVn/Jv+DhEC1Oj0
6hhuc4AjMoFnc0qxiUSJjKGDNTj3dryxOzSI8F5XGjR7qdl4BHC95Kydtx272y+1w/XrsfurM5QA
Avv9szGGQn4Mqe03PkidRXJJZ0/5xLdinTLDusZXAlONTj9PK7SK2DU9y24at5kcx0M6dry3PnO2
Fu1WjBt6VC7nJEhx6pJP7fuFtoJKtTE9eS5BYQPPAfLILNZqlR5Lp90W6CinInrQUdauncm6xEID
V4oKxbxtV/XnCAXGyvLYHv58pf+whOAF6qYN04Tp/SmdyswTv6hMq9zHZre1Kv2aUOtrpm/vJnj+
0x19yfJg4Em05qkRvi8Nb6LuYq36uXUGAHE9G4m10YH0aEF9pPYeWorIKG7ycb52e724iSPOUGuJ
fjRKuKxKFYBytP7mdB5pXQj3YrjXfDxf2nEHW5TOoU4KJp+xs2smc3qMbHPeFZFZb3AsSc4Hve1u
y2wi/pljfzAT69AnXrGRDqp7q0x+hNDmMIrPlerPq3aThkATNZ8XDVuo9hzetdjHM1SbuMTWBG+8
QNQTdErY2eawXLtzIwLT5O/2Pe1LawPquwY11p8f2D/sMPhokTANgQFlyOnMeHE1XK81ga2sNF7K
iYmdzca2GOK02P/5sxSa+rYm9eFLcE7R0UF6OSVitajk3NyasdjOxluIgwdiB9/h8720gyefAS/D
tCz1T7Bn9R1+YTslMbOIXNfLfeWPNaPViXlbuDyrnT5ZYMBhg3HITGvva+Ylgrp4w5SDjKXwU5em
Xz1nLAOzIAvDy1Oxh27DIeuzO2G5cwQm/bE4Umxckqz3uXAg89t4uA/60l3kibMZvfojrHilWPei
M2tO5lWu3JFo9/oVoGy9NVsoUcJH5TtMIL26mfywS5Yg7JTjOGWHzCZSmWkkBaoB8GMbUHdBsFaj
3t9WpRlvLLG8w7K1/uGN/UlAYh/GsPukUShNPJ5wESn3Rk6jMMYFMux+oILXMq455g4klFvrfPYu
CxsgLOxaPQDqu+ohhnthVm4AN3GUCBcZ9DgaAizrjzKtxdrTQaKy0bkMB2TDQ2hfxuDpa7tlJ6qZ
IyHpnx+Q8z4vnR4kbnI3CapDv+GCW23aZbH+gJCzD2p8qHYilzu/lreR7QxB2rI+LcKxg86Bw+xr
VornCDJS014e/Lod35EW/MNLwpmh/vcSvqFmFb8uKhk1cIskRvfSK9eUOFPgSr4O3iJBWEfvPBFi
UX5/TyCl4hKI8Ey5Xp+cjnh0zICn5GK0jKA3htNhUx2mh5CTyjd4PkvFklxmGqTRZJvC3+0RXO/o
ZBSAQxU6QVUiyUjIxtz4oORBksOOQmf/tcuMC230rnI8BXAJoNqfSpQKou6ei3S5nXJGFfCRArXM
IpE9hVJVqYys00U/NgPsvKkyV5SrG4aM3rbnkb60l4s14bZp8wf9Njs4Ws9P1HLc1uEANRWF/Nnk
TdcvTVBYojGQUEIO5SDvE8y91x7zktXS0OrZi7xve3LWZ8sPfKTRZmZcN1pyQPiOksQd1jiJIVvn
X7SC3wnxwFjh+zduDavtNuo16ib7snLlPSJBGgg703ifam2VN1RLzJmPU5N5a7fmT7egrU2KJ0oJ
sHTh29Nz2/f4PHGD0zw5JoKexScnb2Xl1mMaj7cSFQQDens/AvNoY3pYUPQz9+UF7vv8QFO8I+am
JLRkZGHydjiyP+aG/SXuZHnIDPty7MY1fAS03jRG09ImO4lb4jnSlksmxo8mE9l3zmPnH15vah0V
hWcTofCbsjafRdqYOAjuO3d+LjvMPHTOvZE2K7R5rVX99dJq43WFjcSL941650vUFrPssHZL+TFg
4HWG4RfWc/7aG1vhklpPbBACTlIYJ6ShudFpNGhZ0QSRlZAFnUfPKBf9Y9368XqJOBcx//Qv8Kuh
yneZr2nsMWk/P4yCcktvRa38mEiZxRUsyD0q64jGkPMwFiQipxFltpsO9/3IDtqa/W3r0ZLCqjiO
w3Br2UOyq3Jn2iRtJtYNli9FLO9xP8REydAWhQE+O92Ch0nd32JYle6zBKsjDhGazOFeONO1quZ7
96/z9b+49DsIm6rsOXv/M8K2+1610dvh8c+f+QmuMSFmnmmg5gIvY9KrRFh/DY/tDw7EG7h2Cspm
GPw3MK0czP8ConXMjCF9Iyii07A9898gah6w9dvqBV0IKJ9PAWMQiGS/vGm/VBY+cedeWHn5XnjR
ZwmPKui7rNrA73tEJH3Xjtq+1Ifm0SuMx1kCKwwu3K5pPPSz620WrTHPhCxmMEcf2MiQ9hnxkvmu
nfV67WoNqcyj3/6Y2dPWVQydC+GqfqFFef2FV1u/1RBQ7JAcDWuOwmVVe0myxYZl2oAj3aZgI9dy
SdaZ1xfniBwlfxtuLwKvjE2nmeYaJ432oPet8o24QueLlKm3ODvy6azt3OUGVqC9ZuN0V2A6w72Z
+EDO80RGEiLGwNKMG0nrsev66BMzsyQwpcx3bpHHx15PjPNU8J0ou5Jrjqt2Y2tOcw0xHl1Q/jBM
UGLFtGA1AbG8cMenisFYgFezXLdWPX1NSsKSM0nQh/AXLKPyBrfGThIebrXuTpZzt5JWTmqYEN8w
VBJba2CIRHCuFYTu8GRi6LXCyuuQ+llBn9/IdbqU+GX0eAHyVHHgcsvboum2/QuvWrsK5xTfN62Z
9rXwKbQg1Nz64BWP/WjXn+wx3Ra+vFmMvrjNKGbhQHstVYfnZtkqZM9pSbiXdF8ABk3ZZI/DUiU3
mYitM9GhkBTMaGVQR2N71wiN7B58OM6tbF7cQCugZ0YwCS4oapLLtsrlI/KE7hvMAf9hKgRGJ2QF
y7VTud5FPILVdjKzzpoBP06KDkywCfGFCm+O9r4XXv3ZTVKqq5Qk8v/H3pl1t21lWfgXIQvz8Nic
SVGkRA22/IIlS/IFcDHPF7++P9BJt+1UklXdr/VSKxXHojgB5+6z97efcwmS30mjYEv+wEBewXHM
qJYWEphgWR+9yvRXRB8MXrzA7Ah5d9zAGrPMD3UTsuqfCj0/VNrUVSArc69icpCDRmAni096WxRk
7ywYfIOXfPHMXiMUFJLedsw4fE7MtHjwrRCeRhYXD4YsjBOXVU5CQxIcKRBLvpTQHNgpG14saD3m
XJMl5Aha3eLs5rAXxTooUH+FPa6beOadDISTrXZgK+JA/1vVlW+/VrqF3zEmi1Z3nrXXLKtLlgKL
4U7M9E1aB0ZoV9BX+lHFM+BINx5pKskPY8uP9MwOdzuwHHWHJEiCoAupDEAL4MlXSqiLh5sDgQr4
1wVGTnEDsNnFlad4H0o/5Qca7RhVa5ZG+Vr1mcKAl5UvEd+/bUwm1VuMI5JvCLbAndf1lEcYeXxC
c2veY/ZIW6Ozyg8QiuNd2JGluf5mSZiU/qZn4w2UhRjLvZgibRk7NUd0K4z8e3vkM2hrbfYNR6eN
jzHvHpvEHlgpKYrf4vmJt1amLuz72ydvzPgPcW6Ye6f/nn4v1FoHdblNBjv5cv2kJU7Lo00i6EGx
KmptY9KBLKWC4jyUcygrEkm3dKYqfbaDwfyE3hkTGcxs7752hL0vZDheOI2Cl6yZ9kzRAa4s+/kg
3Nn5QeM0C+orHNA1h6x9b70oPuV64Z5ZiqgbFDXzEuoJ2/VqxlDyiWSgDZzwS2AiFQxOFlGxFo78
oN7nET0aOTepiLQHWIn9dnKT4qESVcA9vw3W13crG7LiAWZBQzO5DOndo4aKepiEV07BOz8aVYM8
QtEHuRdX8OO7mRXjASan9oD/iX3/xa9ttTQr5g2mt1OT4/er1B0+CXzMolj0TvElj338hyiVgX9r
tt1ZH8QduiEjC5xIGGbfnCG4gUBAlgb9NTe9y9hYG6uPthwMn0XduCtHH/2j6/IDy9BZS+Yms1TE
Y8y8uLTcxzoQaUW3BaLrXuwyeWpgQ5zcnmu4REdfuV6JVYbKZgZ8dSIBhv0RtSMsDlbuzeKmNp6N
0Uw2fiHQPmkrjbZuITFMBr29VqXMgH9V9a7vU9CMvqyilVYb77nAz1KZH1WOys8RrLxJphnXZGZk
YkznrTbaXe4796R4EcP7zjpjzAlfNGF+hoT4BksB80feZBsCQijfKu/XWmYRJmrIsy04+PY4MNzi
ocMgD7wmmd6z3lmaU0RYbYqaDafQh5xFFIK63FowcSGtTbzBsWtsxoqTXjIoeZSu8eQq3QSgVO3l
qLK9ztp4N3ARXul+hzKTSxAGQXcoBdOeVhQvld7Z8zFHPyqpe4eaD/42Ua6+cigF1I2sWhJJwqmh
vlmqvJSx733Ephfv7KHSv3iuRhJeykeU7+RVKQ22HcPzIrYqf6l3ebMIm6Cdd8s2tK9p4npAoexO
JJOFpQX0Bme1lRmED1XWvEeqDdc69ODTGNVDubZEH7ecPkxdLcBideupN/NjYbgnGiTlPR+req27
oXFHpM9eDyZ7sWVGinsnc1mu7EbrobmZ5UdDAG8NL3Ov0FPQkMrXLi3MFY1HAany/rMOHArzD3f7
wKycLTr8G20NL1VkbenYCp8GvNYLOgf6BXKGhKDhaLe17TyFKkcQ52vIWiYXn6GKNcu8sVYtUtJx
8DuxZkjw3zFh9xfPiY0nqap5hiBfuwT/p6iwDQecNiaSNXGA5CnxmPltloofTeglH21d42SqM2+R
iyZcFb2G/Onaw4ZtzwEyk7Wm3kU/eWFS3HO0GVciqpisLM1ZDGXtn8q+HL7kMA2/DKZhndzWLpYO
E9aiduNphTO74Erexp23jHKnWoYym5txx0Qc+7GVxqExQ2Ok3G1yTxjMuo0vqkznKyGeW3fUzi6k
Lvb45ljxJhY6Bm9BDRK5/KPn1DafmDwUC2jzpbmwp4Hb4NgVpwIz5IHjVrgOKQNch00VPuNRbi8D
kNhkDfqRBFsb5NqpFb6zZ1KQW0MvqnU8puEyHZxiLj4av+WZSXMF5ISnoY6HXRl51SdYisAmuRau
aK6KloM3NPCfqKdAZwFIyBTGRlc76AUXsBKf9q4ISSSVdZssk1CFG7yNPr9WWm2VnX71mtRfNHU4
nCWu3Ns6zOtNahX1tjIjytkHGS6ZGW7HAsabpm2FKdxl6k8vSV0X5SoBIrYEx10vJ0Mai5iI+yaz
8dmRNrG3IG1vR1Kds2mJ20BHc5GTNv3dhJ0fRQhkb+EiQ6ihSh+qpBl2mL21F6sNToSum49htnRU
rmo3QemKTZeGs0OyEvBR43iFKYKvOKnxBbyAC3fQ4gzqrIM02ik6+wbnGRl1y45YrEhQPCjX8k5j
bNKX5fvJVuXG1h3iZpka9Rr+i/ggAbu1Wm55PSS0dU9pyHqE/XmIe6NZdkkT7ocqPNLnerE5Mq+8
0E/2EDbHmzDxIS3OPjRpwNucLoHk6mrceB1NGf06KWfIzVZmQNHYvyXViq9wM4gFT9gmzRhomuCW
ICpdx78C9D3DGE8B8X5k/p2ODqOK5OCbSWetmqQHDFeaycIBo5GkOPM6IvqZG0tz0Yh+3hJIf+ht
ljUUxO64G34aM/te04N+k+VBtxR2NzyE3jStDTU1J5E4xSbpHfu2dabPFXu39VS6lxirGmJP216i
IDdXaeAkZ3byztcGjXCZmPn01WiM9nbI8O3FRv+B+mGuB8fsb/2+Z/+H4fZgj5x+Fk7U3AVDah4H
z60uglFlDZXAWuEV+EIacuYhdsnr0KJ4xlpto9qH4SHTYnchElbcsmryZd8TgQhLn0VJWKbbsbXj
LQ1KjxDoZgeAfTPN6Z40Td49c+gXBObqk2sQny7stwjo/wr8enBQYsJ+iduWoV+ouv2q20P7Dtko
ObLHbZjjG2LTGIf2dRI86H0X6IuKWYa1c9/K/TTBmJ+7kdTRjmvtvqTG5lNa6+ltE2VvHEBhyBVm
1ZWLoZ2cG5WHBTJV9FZlGXd9rcrevR4P5mKAMrchZN5vakOvXxhf3DWh9PHShsG0ZAa6WHTPnK0E
8jZLidQ66HZQrTw18U0jhvrsdkN3Q0IiP04pWvOyUm16lnnlOUtgINHXvGp0QaV5DD3AiLgV6EHt
IenGfsEckAb+uy90Lhy9cIxL3AmfhKtXvkxWln+dokInt4DEqHHJp1972elD/kiKgvSKMfk3YdEW
G+xVuHqNaR+rMAcUwyGriCd5ikU3vBiwmVaUdVly4cyiNSkMOmaB0fMREgwlSeHD1cjjoH2EcFYL
mlLZaxMIWjA9t5NawnLEvriympbEcNX036Imo3iLQsxdXQ3lbtTyDzmXpTYq9Dg+NkdZdxnnrNq/
wDDu70TUlhcrwfQosWqx3bU1itsLf43BEhto4IcHfrEnDn7hygsiOuCTzN/TWSbq71uV/6g+/6D6
sN4xEcf/WvV5/qixQbc/Wqp+/zv/a6kC34O338JfeA0G/I/qQ/wS5hkpaNcmQAS1lUf6w1Tl/Ma/
QG6cI9RIRbPf6ncVyDZ/I4rPxtdGBmInaXv/jgw0r49+WC/Rg01qgZYketMw8rEm/3kTgH+3m+LC
x67io6nTQusv0Cat7x+fv4TP/Wk9jhGT5wgOgq5vXon5z3+QmsKOSdwqRLjrQL4YVFYG/sIfQ44f
2OrvMqh9+3SqZL0i+1K+/PB+/Itd9fx+/fgUMabBRoSLCGiSszgv9s8PHpGOHy3pBzvBaVBuvLoZ
Vv1o8LiOLi8JkYRXEWQl0Mk8tlbNpOKPUWvzfO3WrrUC24vQ0yXxlvNXurQqrTp0QPHPDQRy7i1p
SH8N0Pd1IwSxz8YLL5mbDqv/w5MAc0aZFcI3H6RfXkEdXckifxnsqmk016NdTJtMy+x97A3qqcIx
vQwN6VmcUbCfGLTHvAwBB3eHMxO/XxyMd25uoiQ0vg/RewLAHJCL6n2Z7kdE8g2dn8ZjFneo5PkE
kkbLuBb+/XP4k3LP+wDVay55hzbv/rpKb7CRdsobgl1slQhlRB0WELfV1iuSb3//SH9ab82P5M+2
D5ZNDlbZn99xh0EnK0Gv7HpL6NgjKt48cLWHurWqe91hD/L3j/fLl+j6CUMLIVHIR3xm7vz8eKbR
5HnGcmCHCb++54rC7bUTwT80dv+L129GqiAB+9g+rKux+IcvUVBzuUgHzWeLNsRbbkPfEPvinWz8
x79/Olcq5Q8Xhfn5OCY1PoRhuS786aKQCDbRA5/BHcv6dD95jbmOAj4zSvHGqYzeqIURuXAmilZe
VO/4RwqS5cpOjPASkVy7yRynuqfuFOnJ7enRLI0ZadUTJt2h/xLXTnO1jflsPvXCy/HITDq3NpEM
E4FmwYOMpW0SuzDjXWO6zafBneLd3z9J67p1/OlZEshiVU16hhZe3OIzg+6H1zM0wxQvXz3uhoTD
bSYKNjIibPZaVcsNrZ4ms2fxjRyitnJkWkPo9JJdmtFr3xtlu5FlXZ9KyLjxgrzAqnJzojcmHSlO
oOwv3pBln5zKJdAxmA8GZrJ0UYMsX1IWlz6augw20UT0v4Uj8xQJZtNcxGorxcZIIFRzOZM7t3Wc
s+hAhvUxWiV3FySZMiSgKdx4p+WBWhZOjNyEHrttrMJ/rEMn2SdMAZidqggLnwjfIm48y4y40p7W
4f5cpoBpONp79pHoCiykcC5e7U0bt2PZLd3OLVJIXqLYybqQzy1Ta8r2i/S00s4glNS7UqrBTxC1
a0FAYuuEdtIsEjeiUELSFKBB07p3Ikt/LLsm++SJSH4rGd/GhdQDhdBUR3Bx4DUBOM6j8bPn53Ll
ZSY87iBI94lKxiM5VvcMUNlftT5i+sKiuOLctXn1NU9S51WvmjWdFWTVQvmhSc2/1fJUW9kiFmvN
qw9ZRiA2dY1qLc1g9gFSkRKWISZeEh8LUePm07x8SzT2OL+eqyJNyiWoHaJuxcCsmlkvTkS+Fs+e
vhcyy46UT6knLZUEu41Mn05Gp6EHKnCmKBoULifZYG0xPPr7brKt1zp0m7uE1ynft3pHmg6G5qO0
gSyXfCJ6BKQOyMxrwbJ0IyNTY2M9+tmiwFj/xHagWxYgVHhr0PE4qIjdoLpNFFn3Zph1a65t/b6F
qb4AW9P6WKrMd6vmPa9do7xXdXpLbxJp24HZsxdpt+rCuYoma7tlresHDl2CYkLbXiTBKNCoxC2d
uF8iyhB2oLf1S2hMNEjV7ifFLtXM8nw11E2y1BIE/ZZy1Y1V18aRE+qAciuDRdFP4zLTLbHokkpb
tD1nIS/QIi5R3bA0QI4uYZ6ON5ovqDehZorskY/SVkaKX2YMyUtJ2tzknKSHMo8axc3IW3EbkptY
+C5b+mE+JgvX3NZNo904yBfHVkPCqEdHvSY4c++7uPF8PAFszbChJOUZ6Z93iMNddaOUYe+BeKc7
w4r1nVfwdXE1RbRsgXVlkt2aFDsKsRfhoGyjcDnqSf5W97b4nIRG905Fj/ps9fVwyHy/38s+oHNM
lPax1rVyW7UoC3jJ+31n8P3SlCxJRisFuU9PvMbYc0LwpmplVG62znSRLUZtGp/sXs83lm5Ge12K
cm1zxFsmCl0wsNj9GpA9jzEUiEWuk7siKpEfk7xDJovdsToEJbE4t+gU4hdnOc5JchMmvfrWt/VQ
nCD+pauwZCiYKBkik2zifTfZHceCO4fB+Y8SR8RFvR/MNc+4Pnhuy7G3VpKUt65ukKmaT1Mw2GeT
L+pJxQS1VzJscfjpFHx8GEk9rIJUn6usk/ot8kYBDCD2niOyU8cc4+ejpjNfpEUZneEnMJ30jHxF
MUAyEkHCb0fJzqxSEjcfdVdeUmFXn6likyupTwMVG8yFmlOqbSoNaz8QyN+UIuieKRhN91XsNO+T
Fum7NLG59rBy5IDL+AVOLzxMOKp3Slnlicqw8OA12BJQ2Ty80WAOMSvm5Tqoe545MPZzoGfDyuks
c121kwl+wxbniTaJZoG2w98xg7T5JFzXWXa1xW8CmVDf9n3LU9JcQyxay5vEspWJs7bokDobXBiW
CMfxtmzNaacnbkp9XxcemFWcJdVjQMPI6Bx6l8+rYUXqGzNw/xz3Ndd1jt2HhJQyi07HNhHSsmpL
UatzA7pJuygeAHE75c47hR5bQUdFzpcBWzunZPiQF92jeyjEfXKpdbOa4R/GZ913brDJkCVCDto2
CeU0C+ZF68YZaWOpuCgYREEBAVT2poyqcQ9Sb+6iT6JNwbJmTSHaoxFqIOTbNkajGJy1F+t3yGtB
T2mq6Ld12atoy8vvybfa9qvoWDdZBXVCYUtuxxwVq81qfVXjFCHkGWYk/exRNQLGpWlHp3GgpHXa
X2/v/zmw/sOBlakNZ+lfn1fpX/76mv0Ucf/+V/4wKdjEfODj22CLv+d5/ue46vu/ESo3+aJg3jZ+
MSn8xrQIvY+hm8p5L2CW+l/TgmkS22ELx5dEpwX0/3FctfkpNNDMNmsTTYUh/+eZLTFK027QdLA7
4pEDKq7AqQR28w8T8K+j9vwwqPpz0onDKnP1zw8zGU2t+gkDREODOGUx7EWtTvfP2UDz3j+cjX89
rPBYYAOYs02qX/GSzsbgH8ZQ3oukCXor3CmjCM66i9mP/KJ1sCcooSXQlH80b//SxUro0CHdzozP
aQLsgKfPfr0fHpLiB6cyvDrcxWQCuGJURXssahpUFpDxCmfpQ217BlpjmRsdkza1VUiSiq3bYOZb
EKYsUvueXHI3ckgsE6pUKOZj1ldBrX/Nx7g+VrTFbauQGz4jfbxlwWjSWTfmB1XPDmaJtTHV6vbJ
aN38EPQ1q62QnXyo2vhko+XmK0vkEa2WeraPRaO4ODfZvanZE61SNK1E8EWfudrd6p2K14OXou+V
qb6bTEve4nZx/WWUWN292XTZt8maivNkDcmTqcfQkRgMNk4V5UsDSyFVNPmw0wtEzgrP3tbvdcaQ
Sg1rg7J61qBWc+MZbXGilw1DKDULr3oqtF3qDtVqqrVhV1HXK7iiBSGJJ80s3hqfiRGfIrV0xRR1
UE4GH63ftzd6Y9YvsdSw4AIorT1ca54awKS/4C52VHOM8jLZeFe9crhql/pVx9RnSZOW7PIlmWVO
fCHmJbhqn3Nw6z3xmxKuwVUdzYiEAImeRdOafQKj3iylyij1nWWc2+lZv2qtri2KozcLsGqWYgGG
sgUN43plzkKtfdVs7Vm+xV1xicaYddGYqEs0i7zNLPdmXkHX3Ki3SAezGjxS1/ZezxJxhFYMsqZc
CYt7jyBmXlJThG9/3fDiMPynt9UsOduWqd1beTwd9asi3YyGBAvY6+jU1MHpC63QHuxZxg45ou76
Wdq2VCyPeiK6d9FQ5CGvGvh01cO1WRrnJWgg4LtvVZvS6DLQpERxN4aY9B1bBswjNPZwFtulFE9B
o8V8SBHitVmSn7RsXDbjkC8x/OvLIES698r2Jrmq+eMs7HMsS15Zg1JwiepPwZG1iuZFALml6hLO
ywGXLYFz3RfgGbf5aPPtIfXX31qSEy3by49xXjU4tdbeynn9MJuVl7yzztdylPIcz2sKOS8sKqel
h7L1L1UVxOuOrYbGBHJiw2yuzXnlwUFrWg+BOzzk14WIwWpEsSPJ2ZV4161J/H2F0l73Kfl1txJe
9yzu96WLum5gpnkZI697Gfe6o1HXfY1/3d2Ah54XOdF1qxNeNzzy+7pn/L78mfDbryBpNcmjDdxL
QDUykpEJ/tFTlPYERkP4nkEFmg+pXxAJTqW7i6D183w79JPrfR41W/gbT0nT2Wc+w/wqTkFebxo6
giobd0LrboQcJnHp8ZNz/CjjXpxc8mfRosjqfLgTKN4+WTW3aqKbICTsg6bOqvbFLKOZ+KbnoUbG
rR4D8znpCMdsqpFr5LsH6hrTUBu12kECqujqB7jvOUOXETTyhflTPhAXpRsOI9j8YB5HcSo9n71Q
aTWFl2aoFkPnWgdn7KEfIPcDBHFoSNo6rWUdBhMjrjGOzs7MtNlLIzH6rLIpMB4pAMSt3FTzv/ZC
F7SF6oY318yZzXOWhhtbMm0WUBxAkEHoXcmOWAjxmvxwdbaQxJzyJfWfGE00H9h9ZdtNtfR6z9hc
DdZXR49TYirNGx1wlaYiIoshGN2x5p+qVssf8KnjE6JtoitXfT9k96Nllx+2a/tHfhFcTQQLKFzE
LDStOlekwFloN937ehqcUyd2X2mI5/ezCJduaNnM7im3hCYtIaPmS3pW+DNndvmYfp0+W3o73qUy
caeVP+FtEXhiCKoxRhhcPDAn8b1Nv8um/5kC/2EKNLm3I0L+9Rh4GzdYzpq4LOMfVxe//70/ZkH/
N4PcnD1zEbDuX/cTvxtWA+M3mkpmyhGj0+87i5+dqsTEPTYLlL3PST//3xn65mnrR6GOryKiqo12
DwLyz71NnQ6CBJ1M7KsRIA2tdOy36TqdeUGBMla6iOq3kRXDW2kQhvnhZfkX2wPqD/706DNd3PAt
ly2OTQbs52GJHAddrWUj91mCC8ATctpoZmPi8M9KBPaWU2hbOZwETaPlK21UChxkj5RzJNSpnibY
NNWiEI2JuUK6SKeBoYqamy1yfB3baF9KY2lZQmVk9Z3ERHLDGJbYOm9KjoRsIW+pDtWv6hg5zQjg
46mnwvTDS3zADFUcT5s6gma0oGHHvVSa8lhVhuPWH4bxjkPZtCk5ZnL+sxFenXlOcyFV4x6aCZV0
yoKPDPJpw/4ErtycgVedSgwKB2wtL3fp9+uiERKPP/jXC6YiQOy99wIZcjMEnmY+630o4nWGxZ2r
rYw05yVC6+MqzCDZRjcFDV9cnwdQycMdfYBcuD1BB9+JXtfIR2tVhqDEU3c3eorj3iZxkOn+xmz6
Voetg9C/N+z5vxQUeXPDgHWUb935PiK0+ZbiXm8v4fVWY1DiZPlLmC4GhshF5obI3Ava2L5mkxLn
3lPFumD3wB2CQBqTiaj8z1M3trDujGFcY73yth0XqZb/R21oX785SdWfPD/Rm6XUhcXoZxn3U0w3
6QAO43Od3gd+kG6zOtNvjcZPt36wIbPjJxyj3eqmzoZNZVflXRVJkw9M6emLdqYkaSoI73tXjU+y
dORnPSJ4wSQbLS2nK1jaSOcDP3RyYTM3LqpgrFY5GKtNlBvxvvUD6yWBQoUZOGI/79X5ntkB61aY
7sA1pJcIhsA9xiD8OfT3est8qOBvDe6hKXJ2PurRy2uCYRrNdF+dAuU+k5GH3cuK91IgVekDzmtP
T5t1U9pMAFOcPhW9my8qzYi2NPsFb66Qs6wd1skd5tnqVfSERYkBKv0UkOahczMxNFbULn9L6bl+
XzcoOli4p2fLTB8TrTRfMA6WYmna8i3m1Pns+nypbJIpmzAN7Vl87RduNWb72ho+5sLz12nEnRIA
G1KEu0T7Wk+QxybOIGS7QFuWw01vo8OkEgeP1WMGQHEKi10tbLkvAsO9DQvPeGF6gXMACxRVeGj3
QcIiLLcVJAe7aB6brgDmj3lpJwHM3wyRGk8p9ci7TJTOfVlGxqnry+QzBU/JC+8oVo6xs266Ykp3
XZ6XJznZ6VspWjecbVbeIa6t6Y6Jrj9mLYTGLC4NyrhL37uohG5TmLAWlxVrjG99VVv3wURX+mLg
K7FLKUjTFrM7foaIWefO75ojiZX409joNHpbatBvS9nHt/TdV4+dxBYTx255wFVNlG2Mgxf4A8lz
3bvtDY32gbYeOy856JM3mRsji4Bh6kG4Lykb3LaTLlY6xoJNXfXON6evoXpBqf40JkiIItD2OPWy
PSrwbaoXOb08EVMPUSOS/WJvBuWNcnQ6PAOGMWl37xwtzAUW8HSn45he5E6J+9DAuIvdGJBZpI+r
aXSrrxhHuxuOSTGFMgoabm4P90nhVCdMQGrH0dS6D9WgPne4M96c0OjveUHC81iU3afJU8aS02i2
4nsCxz8bk92Q2sm2tBMC81lXyKcyrtMtbzvfFm2oNlgyy3dLc9vt5GdjsxhD3VqPpIrx8NTtnWf0
ubnEDI0N3QTs6GNI/DaZUaAtsC92fJRhD1AR/cjE3t9GYXYHNCwANGKKz6bP939yAtolwWj2wCRi
/ZbJW78NWhmcYFSZ93R4dtwoGhUci8JIt0E6nlP8NkzOfFEPHY5xwAJBli3Jq437WBriUBYJNjnf
xYbSWfltV2F+9CwuNXma38DuTA5mZRsPLsXj5lJvtXDZYDh7i5JhrHnSfo1BmETorlFN9VW6Hqpr
InE2yQAHXWF+SeiP3aeNk24rWK6PBpXINJi24FNaxfBIPygkOyWrp4bCydPoeNNt35Taa1l0Onc0
Y7ikcYGjjW+Pd8yHgTWRVgCGkAL8RJ47w0ETWb8NG6M/IVJbJPHNfOPHVfU8OE5zh5Af0kveT1sr
HqN77mzlixt0xVcfFvo3Tn2cK9wWzTAIxPuAZYwkxhQsILBshsLnFDs2WNkMDHsasrhcBlqj7X1D
whvTG7CPZeYb6bI36YJaunORZgrk9TnscgDM9FPvfSeLkfEB537LbaPaIMlUn2gZcN01WLXsqyWE
v82rMbztjNC/6X0Q/CmJt30U+DtyLybbIJP72yK12/TUwtE5J37W3HJCbded3xSAKTjyhS0hg8SW
zmlIvX6h9Xn3CaOHi2UaFvWysbURE6M1dPeU8frHiQ7iD93q0m4RdDG364DX+CYdWu0xihz3pYoL
Lj2QzwBQN1qSzxft0sXbFWJG0v3iPLOtT7EOJKDLSRxIQPwGuGLH33ptcf1MDIC1zUCrlrPFikC9
57+iwJcbPbZe7a4pbjWRg2kWs4dLH63jjHXiMqjMO1VN+lKE4Gh4Aw9VahkkVLplr/J4FRDSu+2A
O++FCf2alV9xVwjTevL8tue4rKWbClIH64skLxeYZ9a+y80xlTEW0MIqMSTqzb2HM/+N9QQGbKMt
OYMMffBgOEkJDbBBm4pq49GBLGsvM62072RYAeQz+zG4T0VO0CbiJjvo1tGn64i3HT/nbaUbt63t
joegNf21EWvVR9RRocb5CL8AfVDeztPYBjZpo1CsVHNXTml5x+mw2iWRae5Gy8np5ou15QC7cdqG
Ru19YhYwH0fgkQSDQIh98zOte8mw1WxCWX52qtRba0lwjwDe0ARX6C1zx+A3O5NLHv7JNokOA83z
qB9mA6rcdkF1EKGa3uKyxszdxOFwMLsROwe3NyV9wUfTbsibSOcuZDbdGDE36w51gzIOv/aSlVVN
zB8jF+GTJbpq1VT1c67X2bnHVEnGlIX7lvtdvultSpLSFmy3FhvezixS/+wZ3shdwYtfGNDchtUf
B8hKYd8pk3DJQjfAsG7UyDX00htLPtnpHRVilFLV9kiplKcXjK8wH9ZSk8PFreuIs7E17F1d5edW
Yn5bkDcHYQ5L453BlyA4jdR0snBZIdXPMD0yqWIsNvXhoUdve9JlkT7ZJjOgLRBlWbhV1bmUbXAz
SZdpRTjhnvUH9jkoaBYG1II7GIvEcB93fT2tRmElh6QNAjJAvRHTOiNgSWWVKZoPK2NPF1Bm2CoD
IhlW+CN4eRS61q8PxI+qe1drLGTFWp2CqjZWgYxZ+YhqPET5MK0Fg/9nahFuEtt9ZDU/0K5DOiR2
DJ6lfcikZ3yJMfcsasWquGIFxEiWuZ9ZF+JxZxMNNQnkfEUwY02l+CuMjK+xp937Je7iICI/l05Q
dZoKFa5o82GrW3RYSRAfI0eEmzg1snWaiCfeFmvTKd+GJh5cY3UhDWrxGTq3dds49osxR0bGHjsi
tTTpSkq/XpZZyguTDQEMUwU+jmQyhSdEXjCng3rsII6LXB38uD/TamM+04cHTov6XvibLhZrwzNZ
/GsjoFSJHDYVigYmO9t6PnIbFnHrRWnmuEW0LZdZ4FP87njn0Y1mgGUub3M+fq+AO9dkfsPHrG2o
e9ZCdXDMRr+F1xqzwh5IHfg1t7kmivdx6fkb1bQkBkn4LRU2YKD4rTjRmcmdXSbqjK0rXSV+uo4n
+KJuhWP8O2D/74+Gfz6WuiZlXld7HsXCv9ZcRaGt0rjz432SNRzrtNELD5D1uUrjaXYfbD3nRMos
lXPLZl379w/+LzYUpouTiB3IjDkM5lPrDxI+1pHaVVMZ742xqKFB1PmRZqvo7MtAXv7+oew/HYA5
zyD2k1zVCZ46vzxUXEHtGcEo7Fm+VKTEDJ/mqJweho+/f5wrdeDncz6Jbg8kIusddk+/etxkoZRd
S+ioXRmqDXUs9t7tcLuledzeYcqRwbEPqLTjTc9eSw8HP1cVEZ21MJoP12HEb3f9lf6jH/2DfsRb
zQfur+Wj/6pj6np+3iJe/8rvytEVtMmnxSI9RRXZdan1u3IEKfA3iuEAyrLFmwmD6Cl/CEgeW8T5
M0aQ9von/A5/bBEpHWF01vlxPhZI49/Sk0zzl+gz9lI2YNdaERxgELN/+Uhn+HGaUbrD0YhLjAiU
f3LYTWHoOG6h3/w3e2e2HDeSNtlXmRdAG/blNvdMMrlTFHUTRmrBGgACO/D0/4msv3skVo80fd9m
ZbIqK5G5IQMR/rkf504W2nKdqaBb+n1uy0KaLx0LgEVXZS3bJ1u6HU41NCPsC0WTNTXc7GAoVR0+
pj6JDx+6XFZSy76ux8ktd64zlhL0STQfMmMcYaLRBgmX5dj01MLieGHjVHb1uSxmtvmkBDB1UBBR
XrO7mU4M5QbzmKX+DC2YWpLMUTVkYP8znR7DfqyGIF6b5OYIN9TXLEbM2+hKJLHg5fZTQnaoXNOO
Qu41AtMXr0JQo9uRKtMRc+vC0M8HNPCw5APGqtpGT6ZdcTinZiIAMiW6+4x6Tx09xUxZ7MtpYMs5
NAXaV1SlR18CEwHq1g3Zup1NBioGKbWVX8/dvmty4phGAQAokW5+qNmH7bKlAaMSGCW/uHQRqtZy
EMOt7YnytRtn62H0Ubf24NG6TdK2BEvieraZzMTzAopcNlRqqeFzR7bxE1RnssJNrGpSJhXFxvQz
eLxQV5i9/VkUmbrWfSJ7TISaR5wPW9QGZREza65Hzl4E1d1gxMLlkAlP8TYcfXTsT+zjpmta36J2
T2216nZJSzwCh77lbgynn8175edbGwkdfHVHzslntwK8JOuCVcopy2A+KocAipXbVBvyeoTT/UEe
FGsUOxEwkWSOxxFEakYCLraHeAeyD/gKnQu1t9Z17j+A8phvC7riLvf4Nu70cI6wnTu/SS277siZ
efu+mupHq2ySq9zvis8VbpMVTiRrXNdG3B3gTcfmxm6CWynnhl0JVVdNUgVqraM8XDTWZA1bGuzU
bh7iaZsETXQ7eQpTk2j6da/c+JRQjRWsKkfmj37hYN3wkp5hWmZUx05HcjsZAOTyAvGFb0NDb2lm
Re9CssdacZce8n3cKftJcKc8jkTjdnZBYeMqKkX7GLrDV+JNxmZALNqIsJlBNhZzeuRE5sj1HE90
zcRgR69xVLs0vXhEWhlK74dWI8Q8AN0WqUfW/pb5CtZtoZ48t2huFH2x70UngcKreP7Up7U8iIXB
DjU4ZgQ/z1ic7VAb7e1cTeWN8kh2rLoqy8AADPoY2OI8tBJRPfsxB23d0HAsozR+6RhcTivAvcVD
7tb2usXxuB/YZHRVyHUYCJfxj5ub+B9Vv547jgS7qnRtQKKoFuKqrsOME0JX3zZSRLvWN4vvYNrm
I/NyDl+JgiIwzRHRoe5rZqbuBnVnXHth6h6ygua6yrXfpnF+8YrGW5d5TJFjNNhBk28U7XtxwVZI
JXXv30GvFzEPm0MXmv8bBvk//1+QXTi2OCV+d1fM38r2rf15ovLXz/xzoBIxNSGKgNvY9S83v3+Z
ayKaJSxwHD7FDeQ6KND7v7dF/x8eP0IDFmVdOqbx023RISYCfR59GbOKLqT4T+YsmiDyy6SFEnH+
cfSt2aLR2vsYlVApaJ3a7l3OdWG47j1juGmwp+0XkUynQks5jHtRdSot8Hha6iG0huoTagEISoGJ
yIQoVEAdOOf4UG6WUjhPPl+smDsCTs64dYMbGJwtuueQPkktOOVaepKxb32pahFykkGdxIG07bRU
xVw5Iyil9Stqv9Gy2r5evpo1HKQU26qNLSG3H5s2zU+RlsKEFsV6mIsOyve58nS1UiEknTgyOVlD
O2LHlChr0iDbYWu5TV6UN/yItxVEhH1dhNE15rQhWwXAM+8nA70r0AKepaW8+aLqDZWjdkR3ir2l
RT8rSkl6GvmdNfn9WaAMLloitLRYWCpX64bE3Mhjz5yDtawYXhTGRouNTLBcJuZENxzXQ4tsWCn3
XmHW30bu0XhtiZ8pLV+WWshUF01zusibWuiMtOQ5avHT1DJoZ9n9S6Wl0a5PxvtOy6WRFk513cN9
rMVUZ87IFDrZdM+8j6itbac7Ss2QX7UQKx1UhqGMg109FMMexZSXoaVbV4u4g5ZzlRZ2DRReMGo4
99F8bbRfV4C+6NOCk7cWhlsUYqmlYiM0jgVD4U2sKiwfWlBWWlrGBFox7erSq853xz10HHG0tRht
XXTpyECdTGaae7cO5c1XtZaw4xkxO9A2WvZC9UnUWB9qIOZPpNXTM5K5ecY9gCaOTyJ9EZ3bXme9
WTy6lVvvJUhSyCmqYpI2FQFjKugr98scpOc4dpfdHAQFhzgtydObizpfaqE+bZ3hmniteRdpGZ8O
XxT9TIv7/TTVN8L3i8OspX9fDwFk7aevfRiknyntsm5KPSyQemww6QGCaQzOla2HCo0eL5Dubqn0
cugxk3haUYyoDBLMI6LSC29sxWyk1OMKpQcXKWXqhywrXLmSerAxXkYciEG2HnoMGMkPhonQqAci
SR8yG5n1mMSuRfCmmJx4eoQSz/UAyUB6x0oJd0cLeLiBjsqZnukLDlnmMEbs2q848p+qwVk+tXpc
s+jBTXWZ4cC4NU6e0ZrcwMlb3CSXec+oRz+tHgIxHGUe5DJH/ZqKMNmXelwU68FRmNLXMTgGW5gh
l1eZHjCNetTk94W/Cd1CPgZO2707QB2aFWH2p44pFXcw/1QxtypLbq94RSQwMj3Woi6pePCYdPl0
X5x8sZRHN5fVpq0J5Pd6NNZVUXoMyK3vZtgGG0D6dHfpYRoWCvf7Mqlq7eR0Ui166Jbp8VtgGtNz
UNYEYm1ZrflAmdM1emSnfKu+M5ppN+pxnrpM9qJo51Fdh6DN+AXqLbp5cT/ocaAhgIjkekSY6WFh
yUybcPZoDvBCGCY6Wk/H0LQZzSnYV3rkOBTECdh8OeHn7jKTrC/zyVGPKks9tFzaKt/j9ScqOs8e
491h8iO8ZsRRYzFvSdy0HCGqnsBXFA3PMXiFbFXk9F0X7I1Z5uhcppymMa/Y/VI5Ugpza1nGZ4Y6
DfiPmN1QWkT4U5ipks8oCcYb6QvmIfNYmK3JvDRTKzvLq/fCh34tqiS692ToHymtm8BkxEZ3n3YG
o+ygXHucf978LEDz4ah3Z7a+7FCZHPNmCLHsh4J6O1K0hb+VThV9irhr3CxukrxgkEuv5TJ8iZbO
P3BHXNZz1g43bUxKGvx1dt1m5Do6mkuuZe82d10m1DkzR/XJEGlxw9mg3lZWS4QmquINA5t667XK
eaGc3iZMw6tsRFjtEoZZ35cg7hGuo/rNdZS+uZDb+Kz1pufOtvBfM7KJdkRv430POX5bzTFIJksk
d8CsWcQ5DBMBUNOj2fPWl4m3bOa5IwQ42SH4O05im6kgJOgE2ciFxoYcpqOnVrXZL3uiAf2+TKfu
mEdL/Vz0Yp9a1LTls1ju8sFxyeMMpJfnzqTSpzdKqlniaeerarixhtg+RVTJfxkVIzmd0iJXxe0W
hPJ01VLGesBFMVGnp5roFWk03chyND8XArsnK1NyFB3wLNv37pY+M77W5FNPdRcaOxkH7a2VlsXR
cw0BnTtu74t5DJ/jMRQ7y1TmYzKkJg8XCGMNOsTfORwYbpqZVA6pya/m0rP8U4i+0Ic0ufF+ckYL
vi+Tf1unNkpTwx3LJp0w/lejJwExlb0J0yJPTSY+0EGKLMvip95jIwLEX4HWo/ewu1exKg5Vwld6
NdUwq1ZL24xoqCJUP6Kmzo9DkQCtmEbjOrXlFi6xvBuGMj90Xv8KdugylqIAI+zH/j3vaHtJkzdT
9D+CYnkNq+mhtBbOBguth6WjmDWXAU08Kn0CCVOfYFUET0Od25+YJpVfcdZOL43gB4cSXfiNGhzO
ufBZeBVgWlSrhm7PiVot/pmtVhkzj7Fz06OjoOrcLTGJ5Hqim4RpxtSHd6pTs/+59cWPPp2dkDPb
yAeHW8vGE4sHeS0qcw/kqV72NIdU57RWRvVas4Cy94qGjTWJfKfyOZan0CBB246ZvWGTl19Z8Vye
+iYNXr3ZU18oDI+zOzElxVWQeFbzRPgtEftiyQsEgqkdF9Imcedl3yjxaI1nT0GxxwQ7kIyn7yev
jiogH1saJhiMqGJy4LcvmPtGaMDETUzO/rDh3ZfJsMeDj0y7nokc3fA3p11Enee6LxLm4O51D+UW
W6pReas85i5jBBit2Ys8l0tSbBPfDsBjRsZjYqTxNc5Nax2XtONxllU3DZ/maek4rSXp+Obm0Xxq
Il1R5hoQhkrAbIwn2W45C9B0aimaqxQ7g9jlDLE3lD91hxBJHhhDmO5b7OrrWbj3dEO0G6JL8XFx
4+7YC8ANDUz3U2fG176FZm8GVn2NrbTbzHGgvvQOoY6QkeU+VUO6yzqQ+UZscrhOKccchVvjHEkI
XXUMZ9ZwVMJDj7SCe9iWNHAK84dLIeK8rvM6nTDJACH7RteKH760MHiC9mvvBioHWKOYPXbrVBUp
HoH/Sptll3bzH6RNDzfX7w5x67ci/VE1H2oA//qpf6qbSJgEjF1OZXRg68Pav45xlu3+AwXTBAqN
Pz7CO/evYxy5fdMiaQokSQs0F8bjP9VN+x8MEghFY2+7aJ//UUbiI26X9mXfosOFviJyPK59IST/
NBvgRlfVqu+nm3J0ou0wQuZDwMm0MzMYB4ZZ3nzKJtbHrWnmHVsld3jO3ZZluY1K9fLTu/dvDHSW
jtH+pOrrZ8O0m6boAJe2To78OqnAu1rnUdIPbGlLi3ZljoSrPqj8ZM0kqiINNbr9a4Aak64aGXZq
rbIGlVIsbeCSRAjKbxGpxFt+R0LfQVFYz4tnhNZ+9j3x3ZopiNj9/hlfsN0fn7FPxSNRbo/S9o9B
dVdXrvvR3N04E6IKtPmleB4022DH9oxVa5gnK8NyhVV3YV1hU5abzh7KNmbEZqi6b6yfrQUFpvY2
bZdWA/mnBBd60Hh5vI2rLLkjRXaSbcS6Q5dA9KlN1FUOLAnea2v45xTqn9z//lX9/WMIoOUGfBC+
7vf5yCrHZBiPRl20N9CBo08V7cbcMXPdylaX/XTH0Tp6rIVVfP79w6JN/PLpMypmv0HcxOZa5A/9
tH66FmHDxW7dxuVNGS7WjZUn/U3ZNus0FMmn3z/Sh3EcSzAgLtM2KSNgHhaEH66zGmmUAsukuglr
E6ziWHFmFh3VdHjCki0BxmJZO+YcUnrtQNX600XzoXmTh+dCsT2iTgSgWB0+PDyEjZRBKRkWvXK/
kRL33mhK5jl4i2xBSaCJzyYf/X4s1OUUXQXfuyJqjyNx8evJdxpzTUSlApEUlPLZaWqbcEE4z99r
Y6g3prHIYI3i7pKTBtXe/3U7+H8SOj5mgvTzD/SyQfMTEhRa068flOn3Xul5wjhbvZBvaaO9Nkga
HZtPdIsyPuGmyN8pW6qvp0UlxD3dKV2zVw5+dAQRqvWcYDJ0q2z4jtkNe6jHvukPZlzA+h8vJ/Qv
LiIENNZWvp0fwlJ+w0GySTrnjCxfi4h8OBgLOEpaaAUQS8J5UuY91i2og0mScFSyStT/pt4XWq/N
CyUf6sJDxA2KMX4ZM1kdkalhsqN6P/ta9xWqFISCtBicdviMARC15c2o1WJIog5yuYWEbFzkZNxh
8uAhvT8Qqr5jv0VfYNFT6gKB+6m7iNK+1qctmolZG9x+WVbmGGbXhdayGVK4p0Tr28tF6h7NBKMl
K1WKbKLF8FHr4pZWyJds+lq3qnvsTQP5HARlgONe9egutv2kEmvM9yIwEN05rYj36CLFp6UyvvRa
n6/r1j7mBF+PloqKb+lQ+3zvtaafXuT9QSv9+DjRrLX6bwEiuVWjnLbu2KiddRkTFKiG8XoY41Dh
o2KSIFuHmUIdUVXK5gdfX9UduNXYlBbpOUTYBcXnSZrJld1E9aPndMwrosywkb3l8hb6VbNFrcmg
kGBo2RmUtb7ZevLRXoYgy2UgUl6GI5Oekzh6YjJfhieNnqOQzJKHknkJ9iE9ZmHAwsglu4xfAjES
q7gMZbBjibVzGdU0DG3AhjG+GfUkJ70MdbLLgAcqK8OeyQmmaz+nMFzc96PqaKaf02Ium29UYNJc
8dqOTPkl6kfDUl59tWeZdQ5kiK7va/OmyzuZ4ywCjLofIpoijxK+W00HPShZM8BZnc3gXZmrIEkC
D6YjhY+LTPkGVBj3Q8JlI/WmObbPNZ4nS9wmeJwDTKhzMCabeSqi7tpvO0cPvgUn3XHdcy/c0bGU
iVvOjY4frxWqDheck4OuLIu0wdehuHmJ7TSkPgEQyELeahZMktb0faGEJlE/CqSNoCCgJdgV7Diz
yGUdLh4rZkk2v1/LpIF7h6Enbu/a1JAAwuI0/GH0A1ngjVnZ3T51Qxy1HmMHoFQOzkGPNtqpVct8
aJmvNcm2jpNAEwSHBZ9GA2xnNxe+nA9mC9Fg7dm4KdYBm2oQ0ngOKE7wXfvFqCUULsfxc6ZMuTSN
2yIzjZa3vCxfMlp35dFpoq7Y5knnPyw9sZsdsynbukrGpMVaEyTMMPeiGerykZuxc8pijmO7vuYZ
bKuuiBcAYNOCnJJBNznLkJrVrcFXpdlQvt6fGsfzik0scFFtgnLg40wDYBoALjNn+U4cMEK/4glI
ZjUUSx0txjaHOA1yukHznAqptEoF3XIi92ggaeroLhNj5q6dVGXLStYZTZAEEt2dVYsY6xQG93pr
zclSHZPUGuNtHrkJcx3+Hgk/LN5cPrGjYBWmcOC7KaVKpZyr2cDXlIf2jbWQqEtxPlGC8jQXIPpu
/BovPt5x1Z3pYeSWFLdBzg9E0uHdEmlila+AXsrkpGZZTLt29Jb0ClNT9+RmtvfmTUJSyWNx8cJ7
m5CqW3gsPHmo13JTOCpv11Qjb1MrVa/FOLKzyOhIfmw9f3yvySYchmAEjxbmpFYIfQt+j1dU2bTD
gW7dLPTGuPdt51lPVmfwN0aO1SFa9hygjdkySw/NZNso9wEpitvUCCKsbEpfnFmm2n1QtITuptnt
QJgqPeFOxpInVrUsulfcwaJPiJVc3ZJVstmEVjQxu2wjYd9lTZ/nD0D/I/c4udnYnztImmw+0Wvv
6FqADlchHo1HStkXYoQ2CKa9mQf6xeunPrI+8bxqCZzaK3kVvUJyXCV5lS/rKMdbt64LhIH7sgn4
yjc9u4KY/8eaandlcqssd6ZgwakTk4+bgFp/lkZSw2M1ezXtqK/GmDwPirQJ/02+i1fEAjJFlt4n
d6X8JEgVn0JadAFqJV7OdTHH/ttYOjwNwhjzg9NNZnsVs83NMDaUefYYcrfYt6Vp3agoVq+uaWOT
TtwktU8ViI7+SpBNGzZzA2KADe7s7PH9wFE1AzV/zQssh1PfmtVBmfOQg+aRcXuQwpA/5oWeUlDX
qkg2nANCVEV71ihcX0YvhilgmY91TOQVFO12bsbkIQXncBVJ4Akbz27smGXPc0HhJXb0iRrDIabx
ruRrshjCiY5uWVnqu2RBxo9mcUltR71ibzPP4B2dEEu23GRGdWU1PQwDGq/x2xeJM5hsvVX2pYmG
6MmY2abDiOhgBAO3AWUjLSsYjulo86smXLDL2h1jigtrPhZEv5yutaWC+HCe5qB4hJarW9jagysn
kOXLSGaSWIjVLoyO8qqirWpyr43OpNENQ5IcruJ5rJN16LUyeWIn0n4zIyYMyGhpqwkKLcSZaBxC
0h1iVo9M2az0s1Whmw2wzo18fq47x4j4ZWjsqMRGHp8MUY/vzPYNuqKD1mc+EJnWPaqNWPZNr9oU
65u2bGBszZy7CYXHu5F+zYBD1YPpn126GKc1VRpjux0TAJDbMSyZ0TVLIFk72rbYWpMzNZuhILuH
Sx7UNzyMKQ42s5jRs9E1fPUyerP1RA0h1xp3uugT17ps78qIkfaut+sIZrPUHJ2pf7XR3kKL2O0Q
PHt2ifdkpJ3cPRNXCYcHBXWY+suYK3oLz51Pk4MDHoyUtmZiyk2dOHf2ZBb+UbfY87qmyYjPeWOA
ipKtYM1guN9TTsKoj2NkBEapTcI8ASVtmsdZuXzvIYsHRMZEEvxVpvNfk9gflBQLne63rInrCuoO
zZRvvw7ELz/1z4l4iBnMt5mHa/nD/yVi6FLjjCIC7ozzFDXOPxnFGHuDRjTBM6AGckznVPm/UorN
L4zArUbYTmHh/4e4CeeD95EqIwQUoode4FkM5j+emuEjjGROrObolYIKC6w91oOZKFzK7AR2lcpC
3aoWmO+tEYgnbt4N0OpSnIwmFae2ARIeFIF1XWGV3cOTGdY2Yr1chWFuPIVYyTZBUnspA5YuWltJ
BumcMO73rLGt6ymJYdXbqtuSXaBPLZHiXJluMm2gsA+UBzjN2orNhtSONJZDpaT/2HOUv/n9sVpb
4X4SQ3gHXLwKYG80noIgqP7/Px3gKflD0hjq+jhRTX+HPSraxzNIK7vr9Ovief/+8T4IBpfH43ji
gJ2DwQF5+9fHo0kdySDP6+NoNM4KZfk9XuAHMU9M//BIHxQR/UiBYyPJaQMFGdcPr2zpfWvBSFQc
R6HajZ1h3o9mz9hT+pA+Dnbh7mf21Q//8cvjbA1yw+diCk1Tv/yf307TbkdZMu/tqbkluq3j6a2J
+XnTT14z/+FU/2/ezMADvAlEJHQBCn14M+MoHNNSZgW70tHDbN3IZTf5jQVMrYiefv/KrA8KiH4/
IxgwcA0cumxAi/z60qacgLjMzfSokqlw1k4i2mKjFGPZUDM0kzmZbvumt67HNh8OSxEwL6NWov2P
X7Nn6pSwi9jFn8GHj7UgBTrL3smoGMkldjsSTxQkYJuMfEKDf3iwv19DHpYZDWrFtQpX5EOzWcNJ
zukaPzvW1rLcV2HTbjqDb3Cd1HmCspAyCAzKKA//8Lh//2CJX4DowQDgQ40x9br102WUg0pMY7/O
jqQ6B/YSfJqj048jOGKiZb//YD88FjILvx+9BSGSVZBKvV8fy02N0RoSxumppeINdPGA/kCzmfXG
xnn+/WN9WG8vj+XhC3bdkPI+Sjd/fawM1oPRGFxDy7wwPKxEIE9F6gzW5veP88EA/NfjOEi8uMz1
5Wr/+ji9X7SNX03pUZjewKx2RB1fEYdhI0F/12OSplDXpgYDzWppCL1sTRknfyjh+3Dt6OeABZmF
zvID7eX/cO0Ms5UTLe94DkMbb7CcKBuzBPsawUkSq0mIeuw78x/W88tb+NOCrh9WW8l8n8Er99Dw
w8c5xP5QgQ9LjwkHsZcm8+XJd9z5ps4A7jROTQcEbD3CN+PMfo8IInCP40hk/JvlF6r5WtPhc6KR
RBzYf8qTSAV/LJlx//tP6N89T4KnbA0Cdgf4xD+8PbnniJE2T+Ngoge+g8dwm/WgCqJHAvaOf6D0
rA5Wc2YEhKsoEDybAxLCykFLOQLoda+iDk/RlIbOjQ4xBTt/SKqMKqooGPa/f65/v2rhXjGgxprO
jsT/+FTZz3cVyhUutsgke5jHOJHBbrTd9veP8/dvIsMjPrIgsDUI4eO9MTXIowjMHEfKJpf7KF2Y
mZR55V0Vres9/v6xPi7nXCf0WQYhgyqGXzDBPrz/M6nXljQXyzkVCERPxbAxCwih+POADdqYhWqs
qFdWPwWv0IIZ91de94c31voLr/Dr5UrkiHMuw1o+aO1w/GWlK5rasPlmiAOwomY+BoXNYtpFExnB
mKH4veH45ruXCFo+0142q7lOsph/184WIOrA72gvPEWgh+/oI2Mq3KqspjWMmjzk61wu5yJpxSnB
+viwFI74MUx9AQ+pWM5L0ZBhIvHlPwaKNlMIit7V0JgsuC0lkg+XmI+f1AAgYKnBbnJ1F1OdGk9G
MC73M6JRv0JWGW7B33VvBSendyBD4txSRY6ffirFDxlCmTmBnJGg5IdaHJbWItmXBQmQBCeAyAgG
KXdNfIS2+4YZ2/pa9tJ5xjxVK4LLA83J7STcH8XQuRyGUMKTLWjq5Bw7fLNdj6XFaob0vU9YvKs2
xnpXGSE0Lsm2kYSjGcbrMY3o8DUT392PrslmiP6J9lsY9Pa2JAXxGqoRJH1lZVxvfPvjfJdXEQ9f
k1m8D23UJEK2ffC6UCixIVIcnwP9s61X8TRmD0OLSnX3YgDY5ymqnPnMfab4pKBs3V7eXuGP3dYu
E/O+dqAknKolKHCqWDFoHduUyRmrM+RTtSRZvQ0uq1VvzVdYTVihkO+ML2VFgfuamivLXDMjhAqX
1rx38ECpxgB7mjwxrnBfenz8Bu1OZnnn5HYAWtTl9zDaSM4YvijYwOPw3pgR7hLRNHO8j9A0lhUB
F+8xix3nOSwBNa4Mm/dWOnb6zomXFH1TuW+kEtBI+dKAChappIEOsbiDDEk3ljmo6Tad3SEhcGCl
XwofcXhCc/tkzaZbbB19HcoReGVIPXrMLCXsUqLxxPM3loT1TTsJ11KA/HSOxxkpSXD0gquImHov
PYN+iUWyz+kTHHvrjBeArAFNmRQ4F9jWbJP6LdE0ARrCuXox7cIewdNbHfqEE4PvVcYTkTzeMMCw
8zk2yASSFd5GC6auiVDnLRFPteuywDrEGEW2aBFk74yquY9xYlBaRDwPjpnucCKy59uE9yynXE49
AvYBR7N4irtgW+mwn9Kxv1kHAIWOAsol2Oc6HMjYZdrDZ3NeQx0dhDmxN3WY0MiJFeLNW9a2jhpa
OnSIgifX7iWJyLtqf4pIJ6Y6pkj4AFAuwcWxT6pTpMOMCXSjFaUlEeF+XhZQ4QbYLAnBWQchbR2J
7MhGNiB6z7FMbxvN1B0G6nmIJbhrbjiolSp99gWexVkHLguSl2afQ/PUYcw8omSH9jcAslhQN5EO
baZR8tCS4qSD763Wsc6M7igUCJc2Zh36NMzws/LpbidTUhfreQq5q/W1/UWSF0X5AZFPgpTozrjJ
Xf9pGMRVhfr5uavtZZu4M8HTQrIAu3qPBPHtxk8d54zxSt1blOPSMkZ8dVn86xzNjkir+78JVxYR
8q7KzGtNG8xwJ4tBqBWGtOxkgauxVoxyguse+7e9qgoGygy77eXZA2q8m8ZC9FsKS6OrzrIUAwfP
RWHxWS9yOCHPTT3Hz71O7DIkZ/9QtXoSQe/IfM4DBmcCzj9Yqy78lsm0OU54pI6JiiQPyi763MTm
Q+iN40MwzjOu3x7S8SVNDOWBZDG+J3nXMmpcB3zTiqNrQB5a2Xkl1g3JZLzN8CXykrSyfwkuu+VI
c6vgjhDEUXCoM44+PdffRurUM4ANd0+cnCg0g1Z525rdJ8xgUHrHdLhxL+HpuKjCbNNdQtVeZssr
QyetS525Nvup3flBH790WTxeOZimO53RRkE2O8yNY/QFhzUV7N4l0D3obHcJ+PrkXALfts5+L4Pk
wszYO3BEKAy8dk2wJabzudS5cai/wyvgr/BHB6RhBtlj2U+29IKX6RI7N3UCHWQYXtKqZz9WTupQ
LwtoBkP5941Or8NTrqmRJNHOCTo6RBOa86q2+uZ7TdRuS2ZtPilGqYHOxUeXiLwbWdeux4wBdggU
nKAgSX8J1QtHOBz+ddTe0ql7g4qbtcX8+sSHGj1OXr9suAkT1C+Nwf06XdL7nYFqoMp2E1bK3pDc
2YpL3H9m0LEfNQPA1zSAMUxdqrba6i7uWmclhZUdRQY/gHcw3TggGtUgrP3gQRkgiXP2kQ/WQkb2
HbZA7+DR0HIdaT5BUy/eo/CUtQEjV+3BE9PWt4CM6SmoWrPQMLhsNe8gvLAPco1BSEB9kGYdLbxv
rYgZLEzODajP6hYoIdt+qu/8VX1hK8wXzkKakX8r8jJ49eiZeuKlxVeT4YXVRgi3IM4NsaHjOH7d
aYpDdwE6OBe4g5GX3NNpH2zWZTV4N5zYdZtSEHAAsKpToUkR3UAKkKl0cVf7XncbttN0cKDaResU
zoTUwAmUWpqJNYSi0jiKrC/DvRsP8l035/jbvI7Uixt7audrmEV04VrUGnFhaNhFnRWAM9v6i+RX
43GsXPDE3mIX65ZWtTcTaAoTbw3PiGvN0aCBhK53+sag+y/9lSXAs2Bj2PKJp9tc2l8JRwGlJrFL
S07kULAXx/M50OSOwCqHE1WEBvMx7oHUs2F91ZgPN8y7O8sc2necPqzZf9nbBFXbmN3oMNbWN9Jw
2gjHCDB0V6ZbTsmPxJgVVKS2SPhiE+4QTHV/KMKC54nOspt09PpnIxbDu9uk4WvcY2ReEbk0is1k
Esvmtsd0K5BQMCmHN3x3Ptk2Bt+t9AdQ5xaNoLCnNkaIHXuVKeIJ6Zhba3ZR8c1sz8GmKxSqhq3E
0YPLB93b7aaDW2bm2R3TAnbFyD2jsmdwiUXf02PJ4gT908rUdLAguZysRtb9pnPtiuVsXuLH0Mls
aoI8uz96EaPytYU6tMopftcVoIvxhCvbJNNe8blxU9g7Zt2d6iXtv9acjThhJAV+TMm7gC/ii7D1
pYyiRHA+qG1GnzblBr7piE+zZztvhl0bP2y/H69FOMdPHhPMtUW/236CXfpMredAs5nXfBG1m7Kd
NMHWt+kzG2NYIsI3mWqpB9+h4GuB5rSwvEJo4qKSnzC5miszNB6CgQQm9hWacwnpu4vhr4gPzWsS
cVDP2ZxgEKeXjMAikSHO2CtGZpXuJH/PCxseq8E5edUnXcWtMj7YOEl3vT9+x9AW7TnLu2vV2NGO
1shgnUv/ZLeSsCQ4h5X0dNtdFK+JPBk0mnE5m9lkQSOS+Lett6XmFydVH+7tWeUr0pDF3u3S6VH5
drK2+zA+UwD3w6gpJVALKQN/GOwTHlZz26JmYVudi0NkIg/Y00C3YN30+zrpTMzEVgQzweWuw0bo
5PbU3bUYAJh0de212U3ZdW5N+5yGzhU07WnNodrfdON0O9IIxNRt8g9eo5K1KQfALwrHfg+KFOq6
uJusFlAY1QS7sGu/d41RbWujWmDDp9VKquhLMxty18y1f9XVaAdLTEh4bO97x3hLfXeHSWJmnxLd
lLKliEy9jnK57XNx6ir/uW7EmSUXwahIuyu/WX5kKv6EcfEhgPFbs5tmulq8RWY67pcckTLooneo
g+16aZiER4blPVfYC7YM/9+ZR7KxojpzEyY2/VNNBx7J3GV9fTUlAZzg2P8qh6he2RJVGyYkJ4J4
7GE3OctXfAlHP+vtnQoKap7naI7/h70zWY7cyLLor5T13mUYHNOiN4GYSQYZZA4kNzAmMxPz6Bgc
+Po+oJTWUrWVVWtfm5RkKZJBEgH4u+/ec78aWMYW2vF8EEVdM5J6mDfs0W3Y9buxTZ/1qNVx6JNb
p/1s+OPwqfVbNmQqffLsODl6U5CH8D+GZ2F1/k5PY38cmWFuh6ETLJOprhP+bJwdO/WeXSWrQ1q2
rr9VrGBPaesij07ZOk5QqqUP9WRyhKaIXbKPo8iuHx3R7ZNSPzpUcnzHoTGLM9Y6BB1675RvHKyV
M3TTw/9R1PAmoOwLFn98PqvNad1EdJ4QLsyoPwE35Yr2JspENqiaMuspDShAeKo4wcPPeejo2YNH
u+LQe+lWkb5rQbYhmrpqYuTMgxUIZUUvfpxHP1Xk8gbkq7JioKiBQcTyGaS2dJYxFsVc9sOWotsC
nWndacz1EL3AExa7CNbMvqot5wZOh760POO++G003xFaYEoGRkIar3WNSyZoLt71wczYMXjcliaV
2WFlrtOJmerxR7ZY033mzuatYUIeNGOs8Uk+RS9xKRC5Y9jej6Zy+p3rYMlA7xqNb9QCuA74snEd
eYMeHm7iNOorza0cHQrhGofGtLsTZ3s+tXArsjI1AzpU2XjZf7BqjMntX92itLZpx/FvI5PmwemW
MCdnx3o+zsKFR/7JyhUPUmVHZztxEAUUQ74/eGgE66bm4+uNjRS7uYZNE7k2O5ucFByWw/L5438J
/NJ6pK7Afaq9LDh4jrMcLTtv3lTZM4PpzkIl8O3pfqIBgBpaXAcbf6ncpyDnh4mt09kYSd/uP4Ri
yAOsUYitb4cc3bgACmds0hR4LOk6qgOTKT+7dH4f3NJRX+u05xtIMz4j95HlqhBeHhzYL8/lYPBb
r3KD14yN89Q5lX7IQervPyoS6LegvLIhnkKvBd+XLNHCG4exrx0JFITOnLXU+q3+22EoPHa+eUQt
d7qgiiBecjMYMHRERhdsMQo71NRGRlly/RuLuCVo07wh/qW4IjIURX+5wRtFdY6JVwlJpo36hDbU
pd73+TTJ26KlANXB0nZTZ3QzqMVBvIqW/Pxx3YkUDuWY8RuwFyi7RVcs1wQkDGOSFuvrS5rop6jW
nL9gzLoWw/ozKQa2bCb/ye9KX2pv5MeGSBlKs1nuLGC6h3qV4hQxqTtvph90KSba6MlGEnLhCgDW
xeemTJhPWGTuE1AisQO7Q7V4UaPne8TkdOUZz6Wx5vAr2Z0wAvG3dc9Py6QTfA6hrM93I5+Iitcu
cLbtJIznxHRkts3hvh1oJwGjLThemx466/ZDeDKFFf1cTImolHE12QufNNOifkNKpFGIx/lIGkmb
t4E5ReeRPPpblBj6YY4S3joi4S1Mpxa7SXppSUOa9VtOzu0UtFrYhO/HlXzdFZH5yHDAd1hZWBU2
URznnIDhfh6wIVi3zC3d1x6cPjkc6JtncOgr2q22aHilB+zjDWupPPlewjt9IzfBl8b/MZ6Lfo5O
PZJrSeKOHAxBtTA2UOT6lo8LujTH+Od/Gxw1hgl8qk3TN+8VbZdhwDLvoEZYrUbPb6fvI97smndg
NABgVNR7HvpupF4ItPadjQR+14CIeOmwG9AM6S7mTRFb5n1luxF4JptX3jP5ONuK2yFsJAfxg7Uo
fIr1KpgapDmncZAUHCnHMPcpoyDANXCVeIvxDVxU88YqUtQhu1je03Xn0N3LdLofDO6PgeQnhR1E
fFqpamAZcEus+GquwQ4DTOg59FmlsbU6pGzaCIRHCo/aUDheNFWPP3yXORn4pqmfVZ3qV72m4DaK
A3mHlNrEu4RjBU/GJgMVrcbqkkz98CnFJfq9gdj6M611cB6dpJg38cSTSaYADGfHm0HhVVwBY9BG
L5nrgB1Snd1RBFkjcG+LJqUk/UMS/o/R4d8ZHSTJ+j+p59u3/u0PYsDlrfzx3/91qr7/H5vD7x/z
y+Ygf/PQ022Wkr8S/H/gcCjV4JIPINwhbq80HDT/Xx2Q5m+ew6oYFR7zAdBt1g6/AiPeb94aDODD
kOYJi/2t3L+kMvIvS/61BcLkVaz1lAQG2Wb+VWQfLMhaS6LFKbIXvbXbonhzsohqiCE1uDgTNCsO
YWpeQjWIcUIewKDgYvy5W9wIJ5FpEiaJjHT87g1meb/Q9PAaGNlMPhUvDqjdQZRbTfxqX1ZL9Vo6
kX0ycKPfdylPbvpSO/sONdTniZ2V1M+qoHAPqes/gbYoHrHFjffG+FbWHT1WKqGVjCrxlzpPR0HD
UVEtkOMa/aZAfmgALAJxXdixFW11sDqy7Z5g8g46fP4tETk9VXZXQmqeqaOh6Ba3da4x1zHOBANy
tabceaBiXG6djuFzhwrk2WEH3I+x0M/sQ4vlPNmQhU5uCdWMPqUEXuptqCBz7RDgXY1Tu2leatKb
lwEkTjjYBQ68QE3vfjlWLwweCIijH883TJjtdW6y+M1KLAvCgbWe7CmYG3DEumhpdMj602VxdP3g
2DNpmcnXLUuOcvIOsOHzi29TMyEL6LEAd7ac6E+eNw0xKX1IjNXQbZhzDxMnuAezVQhmmV2+a8WE
a+vSf6BopCEQmvVPgEYUjmilsHzPNrSUxkQWQbI4Oz2uL3pWhhtk2TQ6saBoz+NSJKtY7ATxhuSp
d+sbpQXoTMyA3plynwYsV0Q4zWnZDPloPmOIjZ45ZehTMzntbp3Lb6fFyujOo2ahJrEcTjpacMKb
w9dixS0Sdii72ynq2hvOFSNBz2DheTSvOWNVyASsXVXsmjaosm01BW21WX18d4XAqIIlfFWa57Ug
mVyTc4jTsi6JME/qlRQ9iT48Hy2ycGvHD5XPjfS42u4f2drbXy1UYAi8Dl+NxVT3ZNKYth/aRN6Y
VoaXMBnq5CjsHsVppjnc6sf2CLdofMSis1ImM/0iqrg720YZ/Ji6yev2LutjKA82UtcO/HHwGIDB
n0LVs4t5Zq/gPiQyrfLN6EcCyCdYmXfZ1HbAicfCs24s5TZwekiLpVl94veYf0awSh48nak7hVn4
7HGADXYmWXliihWUIpdAKAy8rP7k261xH7PK5kDa8vdmHcs7LOED/sS6bC5Z5dWpIlLAu/xZV2a2
ZsdjdrL8eEgzGw0lFqnBP+rKjElKUBc6Z+6jqgNtFLeVYegKyVOJHjryBIwvGhcjepyn0Z7PiZNk
x3ZyH0w/o4JMot7aNj5DOG+IhmwSx51i3fZCLcHMkTEai603yADOdmPVrKiU84RlFpl0Tk1WKRIB
KKlS4yKbUt/2jpscZAtvUrF9DXMysLsgGvMd8FguRd4vj5HCQosxeiw+62iyaWUZegNOQaqWItjS
hzgYT3LBkQO/z3Mr52KZrThOQ/dFFvAzBK2x6/4DcqXdjecRHOxdzdLrUPYrrFQXeD6Hcr62tW+d
hqxoN0i38cmfVXGdeBg/FlOmUT+ydI9/tdh5Db9IAjhonCqFFJ9cSsytQ8kZ2ejT2zE7N1PKZ7JF
i/gatbsgBZAdMTU4mThnmbUZ4FdsWDYqPo2YQt0q+SUhknSKVFeHJj+WPZwYdZ8a8iUYWGhNaCd4
mEdxly0mMvl6t54H42tl9g1nQYro8/l7p8YblgdFGPUGE6CFZGMGuUFdTfKZfWK1KbL6i+/NHv0c
zTt51mKnUwahmZkg4qAe2929O2XZQ99Wz+wA9caab7x0NvalUT+NKQzuUns9LFZCLcaUj5xtixFS
g278IyVleTi7VEwOWGs9EhEwL1JT4bxXN0T8YWMF/niw7FFuTQWCeCMtz9h6QZ6cYXJI3HNTs7ys
mbu7QE9y79LpAWNe3rj8tm+NmH2dgfb5aAB9OAjaLg4kxbia5nq50H+URVw/8D781Gmu7TwHj/bS
YR2N07645kJP927QfffqxDiD/TRvljJod0JNfhlyqgTxBveNUiify++TRw34liYFuoRQ9XZLqsot
Z8f5AiqYxMdodp8X6tlC4Uh1sYL0Sg9My1sih5w6jupSdnkZdvDmnsYiiq6OFcmNXC1iDrhzisRH
2k0MdkKWnbwVOnpLlNFercabHiwd6Ju0U/ajS0bgaZhYkPU2sHeYGaEeuHQyYXx1CBoiv/AHXsOI
hAWv1Mq990mP6tEXgRdCwp/3nGOD/UCr0s91R3VZJoanZQD9K21w74OSF+4x4hZ6iwcPJinbRyip
eL28Kr+xvdqGzmo1h0Cr5F0WTHFgi5UKvXx45CIsiIQbxUPmRID7K0jUqbuoLVyiB08que2trDuV
i20/FL4dbMUwN/fOZL46Y+fuWvzQTyXtRxun96yvfS0hNU9WbnJlJHmxdk+6Iba/CuqHRcsnSbmD
2XTpjRjd4OyoaT5WfqpPbs8jUueLexKF6f5hLvrPOfnfnJPJLpN6/Nd8rO2P4m1663782Q78+8f8
cUz2aD0H/4mRBhmIvZH7v8Fq/oqhyXU+QtV/OSbbwW+gFzkDUxFCXJdKkv89JtNYJ7HnGS5uS38t
jPs7eCwzwN38Zy8sLiQsWzgpDQ7L62H9nywxeTYmmbkE7XGmceKZY1PVbN2GPc9G02gTaq8r+33T
zg9FbfF4L5Ix5HQfrC6LZg/vqso2KJ7mc4RTBVmkIiOEcX/6oXG9bX0+OXM5uKci7jmUCMFbrXiV
ovMpn8NtXHGEPMy2Ee86Hbjzhh9ieqRNEWdCP1W3Gj7Mpcgc4Aj+QDOnx45ehlFWdmfXhD871BEg
d+RA2AlduyG31N1wlsxwyfCuFtrJDhMvDl5/5zYnb+GoV4uuf6yCWJ4BbL1mXiue06IUn+K2cjeS
NpYDLIeYYFcD799XlK5qRbmBVldOt98dkfNNRnynZmJdpTXn+4Cb9hZDiCAgVPUHI6YaGFYTjHZk
v21lLP3OaRBZcD03+3bhqyejdXVtjTDm9Xd93dqbwbKuqel/osnqzoxAKSe6epraBcf0RAsaqzn2
GP60/lHe1jPdvX7zHKGzhovZa3qe4tfAjU4rTQU8s33F9fDaYgIkL1g/sa1aXvKiMrZ0piTw0puB
YYAxP00h23jBJ21Hu8gj3phH7voS2g17OitEc7EP3uIZ93YuBFHUnIIjppgvNb61L6ZGSrSrApMD
nqA90Rh21X3PXdgof6qleQAnsBwjKc7rEeeNftruE81N4yZJyfeEWARYklrNAwnxY+QvRH2cvr2n
fbh7lrn/yVVpfag1PXs8HyFWRLm3W7zAPAaI2jtInZ+LpRE8N+3pMyvx+CxL0G0haSoq9YJoeBdG
21Wh1xr2tbcK+1KmJEphyyTA6Gvc7rsiqZ5skvY76M8d6lVtPzJsATD0I5r67ISwDe+cTZaO6TYp
SKWMpW6DAx514CxxY5oIzgyDmeng3fJHt+agpYebOBb9sJ864XwmE5TeyNI1XiXf+FZRBBiWzEMp
gEdSNXvTJ57K0DIbN9OMa/JUQxeCcJr1M4qgs2DbJmId/ZwDb7pDbbdZElYy3xUwSyC1Fpglysz8
3SP3nxv9v7nRW+R/uTf+6zv9fV68MTz8Jfjxxwf9cauHdyihdHksHrnPoskhbvwiBBvEO7hl4yUn
UY+PnL/6MyEYN+pHUgSl5JccYgNPdCBxEFRY26b+nhzirFTHP9/noRdDU8R5SuyDPN0HqePP7uqO
IGWlXcZc2QvkEFnsWU70e7vsfcieVVKzro0Z1HqVLM4u79xBfE5Wck7huRYUHS2wIuA4KFE6D4JK
JWA7c1vcsKJMOSTjYHodu5XLs9B+mZhxcdOv1J5g5fe0Bt7jM7XY+d5d+T5wdal+/oD+0B5e342/
o4Bm84ARawxj6gCbfTmu0KDxAyDkG6zYur6d3efxgzA08+xEFQQ7hLwAgch2x6oKg5gKlbexF8nz
gF2kPNbUvcf7Rg25y2jFmoJMNuBjGQIvTxO9KSestNOF3gws1Xuf/GVz4VjHt8vRu+N2Us2ZjI7I
9Xand2Xdru7gCsqkT+rMilCx6LDzyujiW3Rirdtjfp7Q+DHrTy33Dx6E22EcqVyGvGoa79NUwCQi
15s6k7HJK+UsHXTZOsrDcugWgSdmqGxW/Kx8y1BTS0Hfd+IvrQQKm7EeCHOXiQ2DT9xYCRZFP6Of
J/u+RPOsnDzsKbFwoMvXqWRTLsf4YOU66i6Y7MTJmKruwch8ih4DxHSMQqgZKqlOiRDjIcZv8EQ6
dEg3tjIA/5rVdDW5O+/doJnfvCbLd1MxYOzK54QAsGr3o1/mt51ghVkrWZIn7SFLVyN02bbCYULl
83DyRx3SjZXvy7KqGfCS+N6xcK6MSaG38Ljyrewde5O5cX1UC91RNEuVX+mHZpRjqweNBFIE+Wj3
M4218dWOW/UwJaN3LegHeiForqnwMWEbNYm+cj3UUH/r9EuBf5QFZT1/zRPMtiGLWaR4D/lsMtMV
7ZxHX5JG21AMXXEvdKR7pGaKqEavs2/pLqQ/kw0QpALUuvlL0/rEmPFof4abVz2pFUTIwJvEOqRI
y9ZhWnaeDut5WU5VZ7lrGaQqdwPulNOEwQVARh5/sZE/boIFSX5jNs70CWcSfkeftXW2rsuKn+Yk
XdzeHtrYJq6rapdb9bKZKayjVW3xTmwLPuFd3apskDaPPu3dmlSZ0baRLpC+YR2M90McWzemxgYp
ZTBs+mzmdz0QDbgmhVt96eiqP4yR13zjUfjVBPxHRN/3z/ymcQI2cKSwA/p3y1zoa+Sq5FxJ3X2K
TXt5HuyFHVkwaes9q+HuiaUCOdm2tneeWPvtZdb8WJX7I4fXdpcwivAb9DL2hP7wTPdT8XXOl/Sr
PaEVhk7r519bUQXbKecd5oq+YydpWjuedf0+Zf8/1ZkbkhIrDllnz/ckMJ3zpFXAen/OM3ZFyG33
ZpZCTkPWopXRNdKHamWLayS5LqzZCXEVI4rCpdAF4AuhtlK0M7P10CCWTbRQFqrfAMlMwlgYjL5q
Otc434m9O9YXCd3gvhfd53TpnrJGeN+1UzOmGcFoYAyifd0JrWbJPnldJm9KY44wR6AwuZliY5HG
p0Aq726eupa3xqCeFtq20F+N+t0dQM41eE4f7ChYvq1clxYwSaFXmnlzE2ex/Bwn0gndtrAkMlY7
43zEgiwtc3jpYWdUNU//CHZAuOSmuYSZ7s6cp+M3ZSfpjzUhH6qxvbWGaNo57qS3LKLtZwgX6dHG
keJvqHOdby20iq2EGU88orcE7ziZGBeTXdu+q00BEwLT2DXPFCntBlfIrhi0eRlVCu6ogOXNYa5E
DTpCI9CP9SRJuOfxZD+NfeR/g1CId3hIB057fjHRyYR34xEMn39bj5XzNjhdfcOptXOBAprc5wba
bB9is0K/wS+iMIzg4ePIZ36aTaEuWB5pXY8He9qaNrBoGmSSU10SWtw09DfcCtOqLxREciKHRxr2
hn5veeY9mpM7n2IRkedPFOu8LFInyg/Zx7VSE2peabp+479LlmQ/ayG/48q0WGmOqg/ntpw3OJd2
zBTAeUuR30068e8CO89vybdTaJYt74lhtZvWKGpwffpzbXRPeq0R8s0OJv6KGUgJxu1Thjq8wEtw
bfFW7wQuHTuUJKWPsUguRQ4wXQ5gFTiNml8J0chDFjsYTlrvPVsq/7HFRxUmbVF/ij2TO0jSNecp
y8td10VOcUfdHVYhVY13dWXERzFpIE5uSR8Y02R95cotGUaC6YFDa/ed3YAwWNCZBcce6X+JWXmc
eYXz1poayoJZLlJnkzvlAyl4Z19QwHwyK4YC0JkaSd5IbwVCFWJHVR/6QQ9bOej+xaIVZ1v4Nctt
L3/tlfkta5s8XHg83tLFGg+rxSN5kH4LFR0A6FaXiUVmW6ufpo3KiQF+eMoM19mNUFoAcvj5Xvq4
CexORE+4otQFK0R/mAL4pyTRuvsxzmyTrjxQtmhopR+KLhEnKqC7VCZwOyec77J4bfU07OPJz7+X
BDRZaEOT5bb3mvjFj46CphMYVw+HVw513OHfcHEHGO0d9zimvXHCvyK3Y2pae6tPQds0InsPMtqn
+yIRhx79bSNVVFyznqJpi8LLfdNn7WngQLID+Rgc8YSpvac5eQE4dehfSMYb5HtM74Vu2m1vCrE1
VgVPNzWJf09V76T+sSXK4lM60Ec0zIl7RH9uw9S5W+TUHCtZsq1owObXpvPeGs11GHyODkzkIb7G
A7dosZlt8WymcgYc5Kb7NF84YRQGjkqjvnhNd/UMdQhUe1imkk7vMp+2RlKhmvW4F+ol3ldd42/a
gDC6m+IUA2mKv6GI99hC7+xSiMeAcmnIkENwhGYMoNSmMDevHuYuTfY95gIQrqIK3WK+BuNgUoKd
01zQU5nXL021pbDbX+H75qGCzctN2LPvRa8BagTC+4SrMD0uWYSdzjF/0DEkdhg7yk1aUolkpY3D
gyxPeB7Yw3WyTAC95dzuPEAna3PY0dVjBRgOD1rQs9wancEMjaAZTrrsgmNWxYIJbvHPZT9fi9R5
lZH3+WNA+M8s9W9mqcC0kZH+9SjF0q3v0vf+H/XPf8B+Gspv6V/Gqt8//peA5v4WkIoPfImbeo3M
MyP9MVV53m+MW/DyDGA5wLMMopW/pir/tzVih6S1zjoMV/zVr8mKOD3TELOQ7zIMcRr7WwraGqv8
S5iLwLPB3Ef2GenVXr/zPw9WM2tiE7SKccz1Wnzxs4jFvcZGkq0MpKk6lqlxppOaNc7wbOaoRLba
/umH9/D71/oHCaiHOqWm5L//K1hX2f/8EuyV0GbzPVsBTTJ/eQm147qN769RmI6a0kg+zxDNFPfT
qqRlnGW30bf4G5u4ol44umswjx0YD6rdZL3IEREp2cKIju9wP2FJ9Pd9QBrWg6WyVlJIZ+S4SsXb
iN/TaN4ldOS05uxUJeRYXjNlAWtOWH8h66fzZ7XUOA/VRmEbcrgr1D2Q2pj5qzXGat4sRl9Tn4Ko
TwCGfe5sV19mH98J18RRA/4t2WWT27+J0epZHi9X2SsqvJgEUl/cIY747L7xZKv8Vorhiooz7HRF
U7EAqusGL6Ytdir23hbFK0AeWYv4QnLk9IoHGNWS3VAX21GzkhjyRy1onsFEuYMstcOm/or2ZxzS
YniIlXeTmdW3hc1Gn+UhBsri4HKE20w9tY12Vb2XWhqHPPPhkhvTeyVj1iL0mFaghjaw7sPGVXyx
hbuufR+XBPj+c3P5/8BOEU/WkOi/vruciiKtWO/+WZL/44N+WVe834j1W9jLgSQgya8MgT9uKZSA
OyjiPlD2300o6Ci/vCsQTQ2XI69Ex+dFrI6TX7cU7lEuwVKU/N87MKy/c0uBJfpPb2jucuAlyfwH
ADrQbVZvy5+i8KmbShyzTF+6NQG8TA2ETieb3Zum9QCFweqUHLiy4KnJW+j0feTQ8GKMvsM0rFCU
j52JIzL068I9L4sno11BQBrCMJttvNSylAfqGWZxzYOsw5QqXSccGxtP6cyQS/aemupbJkK/5Zzv
DOxocUbKNZbj3rLm96g5mLrltJhLL1f9ItiBPrC73WhmmqrnNfSnVNSMG+mL9hvVQ967z+Zg2/tk
E+LFQOKA0NOrcPYdNBSTlJ11G1h9slVB6d5x8Pc25TggyFpi7ymTe8JcjIa9RZFNnxqwFledGP2l
w6P2WGZCVztP11RQUeoIcKxyjJikbNY8FvjlDnz6dmfS4kfOj5WZtS7PzMQ/sO9ln5bUaQ0eziHb
8Pu+7WP3pilj3Mt1IVesqzkE1+LJtLSLiVK+xuO6wKvnYFutS71hXe+N9Sy3iWk9JOvqz1mXgGLG
BqIbiiRtgkEXu5oeHWMCnvyxP2y0l7y761JRruvFbl00mmVZbFM424+4h9hDDkka36l1OTklFRuN
fl1ZGtOuter6EjVd+TNjCQhsUM575aR+GHeeesTB/e5EES0X9POEkPQQ9NclKUT3r4EU5qZbF6gg
I8/julL11uVqtq5Z7XXhaq+r13RdwoJ7+Jata1mndqctPMebwnDmrbMub911jctSRVzHWpdPxbrk
rXJQrFiHof7xE4FVlRPayvqL0Nzosbqrz/m6MpbK0pd5XSM360LZdHilrKQpaaZx/dPie2yeC79l
hM2qOuDTZhmW/KYxb+ykNc6zMXzHEDPdx4MsrjSUYQbH4ITJf112+6he4A3WDXgTL8sFYlwfZs0o
sFPp+rB8LM0trmhvXaRbuZQ3M95xNjbQ6rjs72ptLy9j50GwEf0af8hYGzQSyubGXtf1bZ5Ph2Fd
4Yt2uMHLps6EjO/YdK97/nXlj3OCpRem1yPrERwBimuQuA42gSEStDYu/RdBTixRy6O/+gki70aO
YBMVRoN5GrKHBOuBwIJgrl6EoJCPJsPlrsKmoBqSVSXGhfnDwWCp19Lrin3+YW8oU+vGkZTCVutv
av5ObghG8uqJwBLyVQ6BDkfa2Y/N6pyYsM7tiGfG2wxbBTdDdW+tTguxei4QqxwIU/gw5IcjI/PU
tow6AwcagwC2DW/1b0QYOeDmtzsU0O5QeK11yhQg8/S2X90fbY90VdEZuvpCJAYR0cmSRVoGmGtq
0n3+h4+EJX1kF9dmdZmMq99kXnL7hLFPX8vVjVKtvpRmdagsuQbzhWmFOvHp1NEbR1kAxMjrJPsv
jI7iiLrjXCZIYBABmQHkZDxVmZD4Ypi5rQyX8WqYYQLDleB/q2nr3bnuEtA+Nzd7aeFWSiiaeYBZ
n947iXqrZENvUEtd7ZKabziwnX6TdEb/qjq+ZULczbZrCusmLjhpQdLlkjZifHAl+ediTooHxEgo
MazKNnBza+y41fy6DDD/qdWIwnHgGkxnPb8Gs8ZCxFGxfWo7/VQZ4OtikP/3dZlIeNJBMTQP9MGa
J7uBAXlo4N0yoDsjttslq0+IoRHhrqovtgDxgkdSzT8hw0xhjNd6PzHmUuLlwzLcCJcoMLVFJSFT
ySSliXAMTjZsmtQVe3NJlr1v9eV+Tloi+JuqQdsbvmDVJcN/nMeqP5eVkQw8W0T7nousZraU2WDs
dDJZ7j2IAs53GZnsYz742XKrZedeNQ/sJ4y8vEXyiUvv1PWj86zMtDsna8gbs7PtfOu5+tPQhAWZ
hKaIPJQvt/Ee24JsP+BKozvXgCQAOkZsIwMGuGPU9ie6UOL7BGX6yReZ7W26UXgHgLFYiYJlSl4a
X6rdaMnyaKZx8uavjYyb0u8y8mhzL28x+oCY9WTjUWowDdFpbDhoTvY4UkSvF6pTuLX/rHJpTBvA
WtNdPyr1MGurxbDjztQ3LSZxjE3mDPgypV6Gr0Zkt29tZ6QvPJM5dDNc3ynU0/todIKfhk5IliZF
ZD+KMR+/ClB2l9LwTvgHih9labvfnSpwQPUmdjtsBmfE8RfIlIjeeCq524aK88O8nYvOx7Yd8VPc
ZFnifxnG2bktXFV8F5mRkbZgrUyopkmnK9R99wvPkWDXaMb6YZ4tQRTIa6LQZHyJTzRY6Pc8TQPJ
zSiOvgQI+Q+a9SlX5ZyIhzRzOYZbdtm9ZHOUX+xi1Z3HqJceVdvlcgqGNv8u+zZ/bKbqqQAdYoW0
NEan3ER5ApLNm5V0QXu/tHZLhn9SHJwtBWllN0M9u2swp7040zz9oGWnffXxte/BoQTdRhCCCza6
JZHUmdn4UDncb1hSdOJdGjN9d10VRxtbkD8evLnpKLuemtcg1pUfzqxl4Bj1iIZZmrXQsLwy+4rj
n2nFr+3+kfXOsDoF7PbiUnd04j2XZgdcqjAHZqmRZfMkQJDpjJco6CO5w6qX6605Csi/hUwfo6Ax
Di122bBC7kcPJ/CEoyFhTnHMsaQoxfJu56lvzyY0V6wV1OTM40A2xuKC84pmCbXfQZMwnDZ0Mwu3
QAK6c2Oq5moOqt8qxwlu2T+jeXhR3W+1lzUn5UEK2FDv2b0QZOuZlOIBPDsR7vo5n62m2vUymKFZ
ZO3yw+UAdYfHqtnilP4m4yT47CVV+VbHqt7bCXuarc68CDAwa2k6wIOcO6LDWvqUeoZ3FyzSex2d
rjhCgCIQYcXOmpa0Z/ubN1HT2Eem/SXokwTKYmlruWGpQH9MbdVHoDH8a74MuX/MbORfnz7zMdRW
Yr6NtPyFTeU0r+zv+6sD2qZCx7aMl2HhAIlDdBq4loBwbPzKM78HrdVma+A+Fme/zqLnNOirz2hm
rtrbVaJvBjXMhzETItkuHYp16dn5KYvzBwNu5HNbeZd4HmHlEL4eyYdN/oA8O/cBE2ZgXAZvHeCC
kkQaDTrWvVtwNvTN2Du0LgeLDdEu+S3wFguXSN0QqpazN2+ycpIwbIVtYi9UqXEIiji+qB6kwcRK
8GRlZK0W6fTbpbELbBfGcIuwvnOHrvyRZNYANn5wvR9uRpAKGDExmtztu88x5ZPfXFlH+7Gm92TD
b3NRYQNt+y6xNP4Djlm4uyOHSp20izPJiC2z7w27iYpZmj8akRTcWuzpro7a5GsRaZREVqBI0A55
QTMabrtGQ/02c1q+866kltLgjFhO8dlfSqHQ/trh6KcB83tlxfmzQjnFqx5NI1iI1OmjXUMEdddG
y3KTC/N/2DuT5biRbNv+y50jDXC4oxncSfTBvielCYwUScDR993X3wVl5iuJUkkva1yDKssqS0YE
Ooefc/Zem260I7HImV16JqTWX4JZo43XbXvIyqrfhb6dH6s0xASUzI/lREcWb7BVP0P+da/sqjLe
4AzXx/9Wyf9fVbJl2r/0d+zYcOjX79pu1p9/83eRbP7BR5jKIvRDLnYMKuG/imTP/YNWnEPqCBdo
ERbQkvu772ahcyBqmbabaZtUsf8yeAj5B8oIGnke9lGHIkT9kyL5h56XA4pjoVgqVF22uSjkvi2R
Qyios1cW3UGIDos9yWBwv6WI/DPZsSlfuYr48IRxdr7xI0xo33QUftJy4wC/7bgpE9AhvUjOzxIe
Lj6aS6oqnP1+HplEdKLfAudztpYW8FdcnR3+g68i3BlVHQQ5XFvfH2htx71lZWCoUFDpfSostiGw
b7Z0N6r/4Kg4lb7tkJzgyB/okdaYlPTxiHoaRw05HnZI3bbICka3+/O5/LfZDB9gdV9PoM0xSbxr
EDg/UhyJSemSVHECkZOwv50EOOnOeR97ZxMyxF1TEhurKkAYQfJF8Wfr7N9+OffgD1fPBtHkLncx
bPgPRL4Wn0tgl227NwrpADMYo21uyersn144Jbgv6QpJh17TR2hjE3o2M9ig29ckp9bcmznDZjVW
GATiMiO499df98HvxBlVglY3ZixYg4jrloP+pmekqp5S3UKCEU4OVUpSv0EKffdCPCLgWU8BnZSr
X3/jj6dRCSEQueC1ktYP0tEgIjvMs4tuj2wNO2Dgp1wsv9j++luWi/FNc/vrcS06K98DmEaLfXkU
vzkuUqXosGP92dt6wRQYxlm4hBxbcJNGM1O/OaafncVvv+3DrUGrLqxClXZ7r0dyH8BKBEOCzzNO
qKVJBF/VSfLy6wMULKQ/HKEHEVjZ9A+5IT8sZVPEG3ight1b0MouJfiShxCb5tEpZkK20DFsugoO
xeRBeJPNq9NSBJXKPnRhXez7zu+33SiILBvc8ss42sYRKJO/EkFb3c7gV1M3CtnlV/NvFibrJ9ff
pgu6cF89V/xwx3lNiDKs5THSA9aolTSGhLzFUfVbw7BRt2KqWpdeMWxszt5WkJ/32Zzd8aqzvPKC
HHp7HZahfwlU/a/e+L99wNVPfxrr8/KEK/7z4WGI8dols0pbYlSiraBbgYkeUkXlOZimq7C5H7Ud
r7HY+xTMZMWdjHlcn5Ed0QNTGlGp9maOGmJBHUyAQGyCDDZB7oGsE1jcwk7UF8KZjeOcEIxZ9Utg
rauQwra1/9CRYoCbz8OLYOtqXUvD3dlw1eBiAW4g3vwEfhrmJCNltIBGbDWm6jSSyX0HQumCVh5G
Z3tOdjUK6c1gtJeYX+dDpUmYn3DFAchLUZpEk/lowIPYxzm5wYGa3pPJvmm9NqHGCYkJdKL2kk/O
d7++W398QDyl2Bjw1APcdN0PN+sIba/DnM1Fb6ILOGZgXzzzCCfhrpsDpt0d7Kv/4BsVizWNecZ1
H7mmcHZ6z5+Tdl9DwbQa3ItW+MXP5VltE/gByv7p19/347vdY7rPZtYHDcLW58NArwnZPnNt2n08
pZS8KBGOYTHYW0/U0+bXX/XjbQpjF4s6YwV/mWF+uE1Davt4IF1rjxsIfIBRWWAwO/c3J/Cn34KC
kW2KjSz14yXLTIIMWpzve8OpzXpVub5xoMniXf36YKwf1zGOxsNMwG7Rcnkdfb9SJ4R3WE65ZM6M
VrEhyyXeOWNG2FiTI40JGpctBTe+Cc/kpPYeyUbYFzLRv1uW7B+WU9jXNuJZxjvIcb8OV755YVTw
n2bdu81ekomMNdFPd6STtDuJ8Mxb23KWSFlGf1ubxVtaDO4NTIAB/aPZn2fzbJ+QghP85gqIn/4m
8rJopIJvRzfy/akJpWEYQWQ3+zzs8qNZq61vohedCWS+CBoIpJHblZ9S4jnWaWVMl12pp7WjTQS0
HrpJN0/fUmvsLyDCoQQbPhNzKtaVbsvbKUexWSKpO6gwGk7yKb0gNfl3m4ufH4APOt5mS8/zv1z7
b05qYNV+NnkDJ5UqnilDiZdKhvcRq9iaoVS8CRpwLJnrtLyx6uyEsJdnT7t3Te34R0hawdLl6AED
FP41JEwsnHJ+m1WQn9he5O/I0JhQAsLVstHQ7AjLKX+zPfrIfmUfwW3xzRF8uDuHNuUHFxN2EyMO
ofv6+UkL0m+DhwzQHc1tu8OAEsfm0S4wRzTAGn9zF9g/vQugzi4DRmG5Hx93b2ItIcWr2cdGRFu+
Sz31wrZqMYnRIPbN1wLaxyP67egLeXJt14fruBC0BJZufx82O2E2xaZ2pLsatDXQEBIoGSO+cI/V
ZZH9hNbblFsWS6ULNijZKjMmRcrwH0svrg9Wr8wzQ1npYS6KZ7c3b52JLwoljr9y8Bv1m3P+49bN
c6gGFxo06kuqpe9vGvxLOKRjFoQK8Wce7F36+xtjJmq7mJX9m33iT5ZtgNOKylMiYPwBJNykCRp0
Fp09Mod3nzA+3to4YGjI+r/5pqXi+n5HymGJJUqRGAE6YB8e5ioIu9INFHdSHd4lDCcf43RGwJhN
VBNqSogkMR3DOwkcAJq/XmN/8vZ1wCWTgkmr2WTj/f0ZbUOQvkGMaItO5yeSAJcW7Y0JUgPy/Asl
r/ObF9TXvecPx4oim44yBTeWs++/0O+NZgRC3Owpw/ObzmbfMwVgPyEAr+1+fiMB567QaLnDqWRz
I0k0gPxdb0x2K78+9J/eTIoWEoN7F+bEh9ey7hgZRD3P7+DRBTWXdr2EV7AydIHwMYrff/11P3lp
OiY7Rw85DVz6jyu248dJyHSEizzV4x6/T4CP1It+UyP+9PwiV5XcSZzer76Qb9fVuLHCwpJls6dG
rteo5aNNn8f+2gk8ZIwNeRhhL7sNmED8UkGYrekG4FTujVNQqL9dI3/2DLEf4XDZORMG++Fqt2Cl
hZ2b9X6yZPRSuriYVkMdtpeNthTZfU4BAhARAON5Y/KB1PQolNUG3Awz8qxyAeAOxjSc95FNS160
LZI7Farm9dfX5ic/k+2SQu+1dH9+eADLvJxbxjrVXgldXyMOdHbF5Aancd0+//qbfmxTeI5FnUyb
gtwWSCLf3/7D1CmClBMuT9+a2yh0CeGp5/OpX8BAmWWsS9A++8htQcsmDMF+/e0/Oc6F5o/3xHTZ
UVkfFprIYD6MkqDaO5g4IL0SBiUboHCL3uOffxVxSpK00SWfxPvYZdIx84aqdqFmzUH2LplnXM95
xJwFVNnvLt9PFjEuH20RtoikWXzsVNAXD+Oi4/JpjJ+Y7fPyNgsrseXtRpTkmCEkK6J/GBuyvP6R
7ji0WjA/w3v9cC5D8NjkaqpqT9xYv84WdpKOgavVpJf8ZqWCMPPjG4KdBiwbpDsYiD/uuL1EFl04
W1w4WZtQSwGV0eiP5ABRNgtyiBp1IzYOe/J0Xdn9YOyoHLtxO48uAlqQ7NxKjDVnHwYC9BFREgaP
MBwjBfyu1AEORU//mbx54zyxPdXswijF6NDklqZZzyHZa9cpECD6PT7z3QCGfjrFIw+0CyLvvCVx
NYI7kkTWndMJwghTiRRjF1sZChfbLyPx5GOUyZhL0CwBeEwFE8E9rG306WDoo/smLazpmOZ01/Zk
+mVya5ildZLN42js8Vth/FdZ3nnnsu2m4JoRVJrv+N/GAEaybpJx1UlmjJs86WV47rkM9Tadsguo
JJCQb3t4gJh6cqM4WHWC3WAKa1Gv/Eg/ZJixJLguYlmPJLWH5drriiLZTYkGlpGVRFuexT3lpF7j
XEK11zRMtDYEm02gTHtiIk+ZbgQmfYesRFmQMW9b9Rpc0rNLGtnElK0dkazjB7gtIRK7ewLd4ulq
CNz+NteybreTUfnujYn5INySJBF2Rzax467yRl/vZB6ioJKL+mQNK9Hf51ikim0aLO0/0xBoK6tG
efcxWv71mGZofxoZ9ThNy1IdMq+7ps+763pVPgalSJ+Yfps3be7gLgPDcjAWAIxd+aTdTLu8anbQ
KPObALl6LyOSFYlK3AuJkDvxE9SfXX9i99OAUaV5jhNHrlBzBZsuHu0dSYmv0jaGLbrMht9Qu3vU
+eaWUbOzZ95UrNgxz6sYs/RpI8vxxW2JOJPdFK9yt3+eK0cdeibkgOymFdS+BwyQW8dwqquFcrO1
zFxfMX+aMdtp69TL0ujcxgC3p1qAnqSDh5Gh/14Z1jWAQIBMiHiOgS+T9RgnHZsK7Lwp76hN07gL
B288Vq1sYfhNiv9KLhO6S6Ax6pNkHMVmNpNqO7bIPuIogIjmJtnpYGNU48peBZ68IYNw3FqDF+3m
GYrihEt3E4hJ7Ge2rjdBmJafc68xz/LI9TZTWzlIdtr63TEqGK4tacUeDWtIaoU61ilxbS5o96Nt
gjZpJhdH8tif4P/dMSq0domaAOt11VOuyXhQ8lZ30xOJkwhucWBggQ+eMscIa57AzDv2HWyH3qhI
1FTGXeJ7iOcCG+I84vitCTmQ61DB6499VAPUDTe6NvqrKiS+oOkQ4w52cwa3zsVKQEjmZORvTYU/
wLNbfUBlRaAsJpl32UCGnzT+ymSTYGqYJwKBK/RrlObCrImyLBio3iWFF80gyP3kMYM9MG5cUNQJ
r3IWiRhN7ies7MlFNXCXoQPIQYRYR7MLJ+JK2gIX+AzCuS2K7cgDsQ0Q903NmTeB0W8+TRHiNOQ9
KMcGSO6NqD8Zlr0z4xCkuiH4zXvXEMWX0Z1hudvgczug17ULpatABX5mIF2JV4nrYfVIJ4ClJ7Rn
TaagRaUPdc2ZWrVJnm5miFR3EV39K5HG4i7I8kQfh9iptwqK7YU1CG9X6B6KE/AUqPNo3V4cM2A/
SX+XKIbZTE9LXn1f2sYLHXQ8IfHag9I2OILGuZWwJN99mvsd9hIno/gOenMzT954z5wpe6/LGrjj
lDXWZ3JF6w0lmrr0c1F+Qmc3wGNtpn3LfunOm2T8qW/4nAnrF7mtojrBLZGu9ZjLo5B280gXbuEK
YMnFft9xJ0S2Xz1FxBV/qdCk7RLI6E8Ir/QhroHWHG2SPndoyppHVZB7iv1/GDZOoLJ2080NDwd6
SkWyoyT8xEHzGbPdO3YVYH2XFvKWqtSvdwl1U8bMlqDvVavD/qEKhiVRVmkLK0U4EEtCZlvlrzNG
g8cyB9vPPWgMJ6EfR7eIopBeuTXw24bTaTwgZuAQ3ZKw+9NQzPxUJ+kfejF2wzkRVuGl9irQlVAW
z4vW884k7J8jOZV6L03t4CUTal6xvasgYEbRJbir8jOtO7GlcaYWCFTlbPNiIYN2Y7IbipGQBdd1
w8s0LXt3XapIXfIQVTxUXF2a8NVJkvnyEmpz+VL3YX0t59q6azTnW8fJtJ/J4twD/dUHFGvTqcGt
eV2qunxRS4W5zp0ZPV9SxXrPmdUHNWZ8rAG51KpldVJasX82902JnKmsn/qI8zq7bvUFfxYuv7mL
OK1kaAYnId2IfYdR9NUfGnUp58oYVn3hh5ejVoRpDg5w21cieaU38gYe8Gyv7AFa+ZnFa7ncDD6a
ciPyKqRieRTnrFBd0CA/NK270prUpVZFcF9iuSUMoys+O6GTbNpuAb0Jor7JY/DY2qFaEtuw9SpU
dWawCck/Pq0zDh4F9XiPpIp1MVxsgyV/XZpGeNmBYEDU5in2/7AvmVgA1zvWyeJ0a32aOBsNHPck
wnOsIWf53ioMh7TdxHOJNGzmOaeNlTePE+D0dw+f3asb4nUMgolMtxq6/CoCioogjZzeW51F/QMm
gs5dDwU/MlVmcuO1dflsx5Fza/gz+ucyH6LLyclyawX4uH5Kq3m88pymezDLMbnRy+UGjOedKQDF
N5Xs+aLEmHa+6+JsYpMRXcqGs0bEzHRlhsb0bs6F3hujhEBJ0z64IbFXHiu8UWeOPfCJxZzcsJEe
732TiQxhfnAu5pqW+NbIoundLWnzgf4Eb7qi39Jg8kZIiQ/KKIhvxp1FTI02nOBGRhQYq7JrqumY
9b2DsqLjTpoNVIAbGkjcaaxZ0WWaxIW1zhAxXxl2TBO3JzCFVmrjRf3RsQsP83vTvhcQVhSziywG
qzZU76CVrQcZkijaD4315vQxcfI8etU1q8X8XoiY2CBHYKhd1+jX3kg0nRF2EuN6MMqS0+LwJm/2
4K1QfuDAse6g6mP6ak1WM9fp3zCQVtdtkC82N1FetAijP41xUF1brRdeBk6l960PPFQ3no06lCzJ
LQEk9jE3wvaxAkBiXtcIt1jj8SeqYzEhtWNH7Z5TEwe7sgtqFjGyv+ibtuCYq8D2PpN+0F4EWRnu
+zTtD9LJuDS8Ns/sWibIHN1QXzmyKXdlLhsSPHpCiufoHS4d/xcUw3IT9KX9Au5A7WRJ5HIpiZIW
9ggNpV/gSpyvFRNNCea25jkkk326sTJw/2xCcJvJOHgQaUiMilHcYtE/RwSrmUWamlqmrjcDifAX
Ff0fs4v6kzgra742cS7NgUjliDDavWPPjNdNbZyPjlFe5pMKblGCF0ew8UCcWk1wkpUzbKywUh+V
bk/6CTa05tk8N0OY33no5idhhJ+GrT5bQJ/xHy3UZ1+R1p24+XiTFL392qfypNKmxZIGEn+2GyCF
jlUCFpCn4xjLR/bbJu6VsXjxh2XOVLS7iM7ysQoK7OwVOZ6HHoXnI5TE8MbMowEPY3lwirTa+IOB
YlVXxcEb5mf6f9knch/mJaKekyQMGbLQU+Gs3WnCiRknSXNMDBNLdmCYl0kmy10DB+80srpyww51
wBWamHs7jpvbroKybw9+eNM1fEmnAveqw5e9ojGN28YN5LOvfeeB3Pj0oLX7MMYmUHwMSuwD2coh
pIXMUughOtcejZvCEgsF1HqJzGAAW2CY+1ZY88bTxPAMX+OmyqhdDQmtwnDCZsHmQj7GUu1zKJU7
HicW4CKmOg0dEDB+6vvvfdKJx7GU1oWf+TOqhUzewSCI10jR5Y5sFXUKEQ8Rt3Ld66nnKqm+Gaud
y74QlEWND2Icy7eZURMyuLDVEMq5DXSewhbF0FCyrJUT2RpZ3OAKRU/PAGHlz3hwO9dhQy/D+DkG
RHASYjJrkyqFqAbArJji8Xo2AYlpSPo8ijuyh2M2akqxIXO7i0yq4J5UZ7YZSCwTlsAY0FGrbzyz
njdJZnunzQQZKDCjbaTSZJXYtbrMSoV8ORp8i6FFOh+nqejPHWXw2iGNKeGBA/tRhmMMq8EG804Q
/BIOjjQTfJER8xgxQ+uJZGnjp0xIZ68sGvC01greWHNJo6HTxnjlo5w9m2hmU9W5Pd5+vAbJiT9o
80a5IJtidzwEPYkaXpOcp1zl0ybHJ9bIImU4OhDVMjTtGX1ffK5NfLBGw38iiGdFnfNcF3m3zjBB
rKvS6ddkOkRLKFJrPZGzXh8L4b5Ys/MW1EX1mR1r+hmCSMGi1Rj3bqqMnd134bZ1u+x6ctixkG1j
MfTGW7oOxyAq2Q6NB6Lde31i2JjhN71rNu7BxZ/PO0Y6xaUxhOSw55NbXNJUAXoovDgsGAOkLEKY
eOPPWRbn16LysmtH00cGJMICGkNPfk0bYb7kTRy9VgEZMGth8IEVKoATVcfFLYFR3vBUs+PhummK
HDKqscj3hmMf09LjjeKP5SfelnTu5tTCWxHSkDwWaPjv2B9TmZIrKk/ChIy0jGyOV0wnNBGaqcve
E5nTVWjmNvhsNrH1ksDIDVYFiU1XDRrxzyKBRrKWgTb8dTkHzSvpb1g4xNz7MJsShRq4GlkYmmgc
ip0btn2xk/5AR6MjOQE8A1kV46rI0+I2AnGq2GMWwWeIg/yNX45pvYFLnxDWkpvcRrk9tcmmb/iV
hKQjl9rkqLTA44uRL421zJtTPauWutHMeytaD/Anwx2bVz55NryxOMqB5ucGXf1k7I1p2QK0TEgD
0I2ZfxZHJLNsnDpj05oGDlfJmHnVrVHBBxBuerI+wk5j1yDwJ3sXHRTgVVfZE2wpafuf/zyZqjfC
boUEydLruQEtD8x9HosV9USxx/gVru3KaYC+fG0K2JbMbxX6sXyfAsN/WJQFKNLzZEwOpUUX6FJU
UBl3rZrV6QT19FZh/C+5hMxbF+orx5e4in5IXYKsP21QMfT7bEL4ce73bf/eO3RmV51QZXTuGFZ0
l0y92Oddnj9mlu9eJy7YjnVZeubdEJXNhBFTWsGl7Djog+hNbg925fxqwA9cPETvucH8rwD5yzXh
2aX3H00b+jKcxd5o+fdnQqJeNdWLhpTBjhh0e/Om4yZO935XVwww/EVoDYZHjOvU5PlZDVzO+ZDT
/zsZAB7DxyladnQqkmTCQvmniQI5GWznqtKq5lGHhsHfGry/oOeYhPXkXoesSszjnF5GPYlK1bKF
TN2ckKgUbeC9FZtiC0LBPGEmXR/Q5dvXGSLlM7RM+mGeo+F+wED05xjsvzbw39jALZvX/jcd7x8Y
4wfQiVp/59P880/+kqBaSmLVxt3t8qjwwDu03/8GajnmH7wmiGS26AHxrzCQ/kuCKsQfaOBcgX+S
5vLix/x/Pk0LVzipm4tIjj73Mtv5JxJU9f0gUDLL95g38rMcWuaIM5f+/TdDcVQd6RyrUNw2bCsp
WOYMng/gJDD4c8paUkqqy0inBMy6FPxRlBg3wq+mPaTRqVynGoIEpCLaBWaQDgCOrTWpBeVWjX35
qTFNPoc2Ef1XA6bRVVyP5RISoVi3oeswDxBi+7XcFAYJCtHSXfhawML/Tm6oG+eDH7qgrCzCm/PZ
ADVFB1pCO9LR5UhGDmipph2egVTAd0KdrzdhxGlbR2HPY1snNUkkqVmdqMkoXzoRxc9tOExXRsJi
x6tr+jTVc73GVp64a/Cq7Vtfh2Bqy1SiTzet6zByqAMMMpEKXl/32GPm5Dfzya8DmH/NJ79egmU+
wlXFLEvq+QddQjZLGcN2cVC62f5R2Z3almKs6eUUo5GsbFG1mCNE5l8VbinO8kFwaKXjFWqtExNt
fhRPW5fF8+jP7K7nQEUXgt7yq6UT4zGvVHMTTca4VTqOzzvVMtH1Irx5aUreQwiDZdc1dnHpefU9
7A9EGOVwRlda3IlI7N3If40rp3r55iG5+vPovvP7fz9A4aDxvy43MGpPoqt/mAKXjG/CwCzzW1lk
wSdrufphUVhPlpDjleESmtLFhMuQltluJU4PZnOgrHeNHZOa0o3mS5lYnAZfkdkUQhQ8GQqblLmJ
f6pQfr2JsrBOQ4PUm6hzrDOgW8SyeMFDKEeBYJdWb5KTX+8kqXnQMA72EQHX+4TiaQNcpt3OZsY9
bbdmf2rO9mvuwNmthXVou0AdJgLFeZ8wRNbjlBC6NogtGJOIV/SntPTjEymL4QskL3uV4tv5Ah7L
PrpTWh/qFqRxEDF5Lvtu1+phvOGhTC7c3uBhalASJfaryWuFWhWsEBGOMS9MTzI1JZ0DRo3W9B+/
ptyYcy3WQi+xFjnV0phzlRZse3yeYbo6m7xUPE4Mpt68tOL9ljOyYLSvwKSyk7F2edQ0hA+W+jRt
W/McsBH9htzqz1VScXDC7tJsW0VzfJgYtPjrWYbixtDteNm0FidU8MYGPTIfBrU8m0YyX4O7ax5l
1GCXZpd4JqGJr01KhN9EZX9Ys1Bce8J30Obblg0D4yvz8Ns1SzDiDcLeNW4iWP7XFOf53rCoU/Bj
eJva7ciY8Zd7py7mL3RKmWHAX5jWCFei17gsxosS6+8JkTfVo1tJsr2iFP+TVz6NtO43Vedk99D+
/XXS14pmfA8lNOXanxXgn+BQ0EhsVDhup4w0ltGsCaBysbnC7zamc+b5mlwVOjM9s+llQS2Sk1qB
ntqq1hBbTe3EZ45E4tQJadFfb1ssTgQgaWc6rytFFk0JMbNIPfPJM7Lm0Wew+Zgbc3WhwQXFq4zO
bgTeM9cvuZnsyYEGtNeN/hLT1HXMPaYZ0mjiRd6lZ1Z/x438W2HqV5XCv9ar5fQv8mzUKQ54X2Sz
y6P9zStjqKzGCPEn3xCeBSC3Zeq7murKuAVhxBFYMfkITtUYd/Gk8dmosfTL87HG37T3zCUe1+YZ
JOI1rcjVTfryOekdZlY+XTVwoFZNpAyJzZxpkVrHSnfG7tdrz88OQC6vV8uh/Y/Ibxl9fnMA+Zw0
NYZB9ybFyLwdY4vMJayAuwpmHkyunHUmqAbWC+GwxOSRMraOlxNHQyr9qTU4Ab212mZhnopnAHZE
bgzUsJGg17OrUi+4w0jMLjLKQ1gbv/7tX9/HH06+dMEwow2HhYmW/PvfDhJf17CT1A2OVzp7A4yC
d+7mwDvUNMcfrFnP5wR0jpcptvJ9S2GrVyLPnaNX6v6EcZ9eD76oj6kiU60AHXzXOhn9ALTbRJZV
XX45e40+cwXHP2Q+vvIWn+M7TNuSS6TlSxMM3dGcZ48J1dKj7JiE5Mii3HpdxjQCR0GLuKWN+4hD
Lj4YHl2kBsnPNsBesEsbG5hlGo2fmDDM+3rog6NmqrIFxIfXsRVifLMA4NYrkUmAteT6WtvZLv2d
XSQvdLAOTWTn+NiTsjymkvih3OVRZ08wXn199ALfCF/rwIj6rbPEKXc5yXozCWA3qaAU3GSx3a99
UUWvZtnMu9iMyBKqhv5NptmygiynBiMhJDrylqS5VDEyY+UrF3ndJLLkziTsF74LlronjJhf7IIK
G7vveEwGQaZ1TWCSIVNxRqkIRMFNxwvg1LxLfn0jsEnkSn93J6ASY8+AtEd93Q5+2DawVmddk/TV
TZRarbue6G1hwF/W5nQY0QgwXic6KeAAaJeHO7Zi5bPDEOwa5EVBekXWHCMDEmOUxiktNqieTHxM
nax7eh0ZDe98hxV2eVwt13yZBqKEWf7bFzHI/q3TrjQ2gOozUI6RR6c5Zzt2jrdabTMXDNhqlAvt
IbXTIN2lVkAR6s8ZZrwQgNg0l+6RIcc91bTFnJ95Uro2hN7TljeuEZpPDJk6IAmMdVgiEyyFdDSK
w2jNqDd5ag9kEi5bzuW6Uhu3jw11JmDrftqMQs9b354erRI6F21le8XvibJVE/NAAM3mZo1FI9cg
VdwvyLSyDYx/ss0prA6zn07Git5mtZ8rERXnAF8lLYEuiR54D+gHEmeRxs3lYINg1vhwG48xM5i5
imTMiH0LdZzNakCnoIxeIfdbGKSJ2bMM2kQnpge50mgyZ1MzwyTwJurIlh2jzORw0aHjsF96KoBJ
+Oeg7ZayNEJrQmRVI+UmxaV9F4ZtcwwYfy2xh7H9EtkBOtsQ1XJyCu1h2f74E/HfujC2c1iZL1mK
13PdVhkzYVZ2c23kQLlDRYzdxI3AaGMoilNDThGhc4hnn6xiRmQ8md18zeA8IEHQjcebmr3loYVY
Ga6aZp7fhZN4R3rtBkTFLHFWnkMu/Ir+27CVPQFfXuPoCJEIQ11I0tyFumKXuRoR1rU+IuEVAV3m
hsZe+u66ww3El1SvFdvWgCamm6/TIckuXDeLrkTmDmteBj5nZkk4/Pog/bey/V1ly0uEl8cvGESv
sKK/K2z//Iu/C1sLmyTuRfyLJAM4lLH/Kmwtl/IVnBiWJwobSsq/ylrp46xcyhzhsGoh56cabQoC
Qf/3f6QF7AxJE2Xtsp5RDf+TshY62ofVcfkExBpYNWk9Wbb3QWqZWEHVYUB2Lui9EJockLV3mtPH
Z0LsMVh0yZlgMbdxzQBuS29nUHwEqQr3LULXeyvdhHQ4q7DvQJaNj4lr6FP0hiM9GOHRFC5zZ+EW
zI0P98Wep/aGFniI9TgchurezKvAWOW9BqV8ShRosyfpJo4vXKyd1Wpgi7BjzJYfs2Bi8Ys7fN6T
FW7yDEIj1gS1Q41EXRz73XUCbx40gjkEZ6ldQkTrRLufnL46EX49vM4WSQTgr18J5zE/pUPh7s1S
l5/rLDHXUmUOg7Xm2a5jHk3kDMheXIHdfZ6i8WCWhdxxoYwL+CIBozq330Wmx/5rXRMf0NcMvDsr
63cKpjzbNT3El0YUicd+GheDarnBMVOuQZiaNxP2iJu2q/INGsPHVGn/fsR9T4kOf78U/uM4es62
N6d1YPfZNfVudSBARVzUWUal59mgn2Ktz7K+GI7kB+lz8qGf/bZS7KCZzCkmt6dVRo5gWhj9S5O4
wXEKlE3sowVvYgm8nWPPels2rhVLT10cfKHfuk7UWzrv45OyvCGHlRgTwVV6IaPF1PssRIe83AW8
O3rFY6YzaL58dV6VaPiioUedbKgtG+1ii8fDXasS6NDKHQhAXaVZr6yVrf3s1p1HRNPMGsrjckfe
V33j7JjZ0HEGzJAcULhXvIRdoJ9p0bsboth7e29Sak5I4fCQr5zECm8klIkrGNjzJVhfcx3NktAo
W8DK0uao+Ba7gCzsyj1cLbbLmWHr2wFSxplCMHYWTY59jvEIvwr29iuIvfUub5rxS+tJuMpUU+26
S4zy3UfQ1bHmS2ufufFwVs9MxkeVN2cQbxFMjc4QvkaMSNfpIubCjgmZDri5e2pR4QJoaV3zYsgn
c+XU/kzuTC7MHLZc70N7YVxNFgCuELrJAhVGUpGjbcIjEGHU7/pIoNwgGDteFZnwT/sMlM6qLSWD
5p4yZgEzn+mKH+VWTgmlc2ruQ6BS2aqHNvpedHOx9TxQpK4Gxlcr49WZFaaHKIrjlRGEDNxqYxCk
flAu2+gvdm5s+o94Lonwqt3TMkDOlXmMFlKsMi+9Y6U7oS3nSwIAgE1i1vPC6iNnv0QfrGqrHZ78
Qtp0iwIXNbgX7LoWbQOQqGE6LQZDtmvPC4oTz0kAU0CZjbYTUsQr5FLFdiYBbe04uDPa0UZhxYjh
BvaU2gMS7h5QdBRoxnI0onHAy9D1Q9JwSkaDKiPNdu35HJJTYKamTiJ4i1cgwou6n4CA9TGWwGDa
6sGb7/uxGlc9NdkuUiYTAX/ikrQyOI88UOmOU/0fe2e2GzmSbdlf6Q+4TNA4E2j0g9NnuVzz+EIo
I0KcB6Nx/vpeVGb2jVBkZXTd5yqggEpUSu4ijcZj5+y99ppI+uaeTpBz65vdvinN+WrowOpUo3tE
SUfKR5ob4wGKycAc1KmukZRqyMyEGgF7e9NdpvL6slA9DSHwFa8MY8lpdjKGDUMzkKqVxOEBLK9L
SockcqNSgTnW+mVBOrFeVsNNZMnmNKV1GrB56mdGpgudt4RcUSQmm4L015E56IdZiq9isJ1zbcny
gMTVOBSqc1aJUIDky9qgcxhGuwYv5DpM6nvNrSdUlYbZ3s1+PH0r9LoOZs2d9lNaWDfuJAtagAJm
GxUlOJ7EznZohOp1sqDSdWNuL5K4Gx/KXLe2si4jSsLeuSQ4TVtVhB8ffNxI65Cx/ItZ6fF+QokZ
aGOO7cpqJ22dKtt54SU4ozPxIT+kUoNJDREZ72r3noZadSamubpVkqZojRWHGkd/i+Yi2kiR58R1
9D0eXaVxcqJYf+FY0Z5ImSLDreqOse+Ugdk09QWD+vZ6Lu1qO4zefK2LxL9ScUPiFs2oeWNFDsln
VkUgtDkSlp15/bpzY+tbNJX9ZnDHL92SeJOxZ+arMBvItGLoeYo1S66q2h6eaiSfwZLKe4uH11+3
ZuW8YBPg2TCdGkGfh9QkycbLMu40NqyIOb2dWK/E+jKSdWVyFmFZ7ma9Em/wka01gTcPYceWbgyT
sbd7pyZdTAsRwiRiRH8zewcOlrezLg5UD5wLGlMsON+JG1watg94vL8Z6ix6Iv0Gt0AHinNyyvg6
zdVUrjQZDY86U+yjD3XjGHkxfF+Wo79n39To9egnBfb8dp676460sJXMUcOhWcoCm7VHV8IoFtnd
ikeCY4svEMTMUXzwPe02m4C1jUMD0tc0wyhACOvtk9EBvOy1+QahWxHoXnhidJXtKtQ5VOJQcsoZ
4cRQI+LggYq3XcF5KGq7dGWMOZJOLyyotwFm+xDb3+JEr3caiVgXSKzcL8LN898bVWtnG8C9Mgv7
DuHugz5ZGGn9UJ4GKO3AprR553Vut5G22z+oIu6O6BXe0jltD3GKpl9mpM303ZTtO0CGQPu0SB0T
I+w2VhJZtyoqq+t5kckhLbR7TGI3iESMFyQ9w4mRNY0aU4T9k0gSbZ/PvX0q6iQ9Gom9rcxUUn+j
eHCsx1EbrJWOEnZDFnK4cqM+v/e9qN516K+uGMKLYFQ1kkgZfvOyiC0wiuOdp3yGY7HK9wqr8im2
rOGitrPoufchq7mqr9b1jCIDiOP8jnj6Pi7IwjCy1L3LQr5CK7I24PsxEk/Ny55ddVPH4jVUKK2K
itBJ2noce+m/jc54mkJhPeSSkEyJ8mxDVFO/wzvtb5MxC1+bbhp31pg0r6NGXhJIdpL4eqM/uEPa
bWFPvQ6CfcXXCwFuu8dCTfJp3sVvWgc5sCHpaeVCBTv6ZCO6GSEhY3vhVphwkfwX/dnK8fLgZ0Np
oLv5wxKMfkdRlV2U0uNVbwsOROSLeukVYRNih9G5PqPE2RaOWe882olwu5jelqOt7eLUgskWG9GJ
dGq2HSPtiApME/RRiEGvpU1uZ2yRSz96XbOe0tQOBmt4VbBuIWPRddwNg5iv6sFNg8xuxLGam3Jr
e8P41nkE0a+UREkXZsqxV1lOfNTKmSQBq9U8filJnXh1cBHqlLlvReSHa77IO9xquU2L0q+CqdQI
q1e6FxRppu1pCRKc5cqsAMhjZeVlPRoZ7CjL2Qx9QTMCPc1X1EUGU/AZhGThMAAlXgShT5ZeUfcG
baLnWwhs81YPa96gQyiOM/tAwEu4XpM2qu9DU9PfPWwuqxaa5qpr8a5XThttUPo3K0qPZoOL7sZG
f2uulD6NF2GoGKKWBvNXbvUr7rpoz6k+3LhlV6tVNCn6s0gFgigmXEGSDwL9yQ3dZxnrjb8V5NCj
1dZv3JoX0mqYohT5bSu+jLWbE6wFykzvjTwww8zYhiUZFuLOG0Poiki0vLj6knRFj2a9KHO/uHfH
OMusY2h7SXbRjp5f3Q9Tz1VDrjBqZKf4JZXyKm1QIQMMzYXbk1Gd2vCcksxdT3FUrrU2TFuslNP4
rUZO+nXw+YbUCPYzP1O9aqhbt5PREyA7hZDdRI/fFpFdcux6T17Kmn+7Uk71YvLkmdnUbPlEPBi+
L9eIoI1dAgWAgOB6LOmj6eKSdGzv4KA14gnmMHd2O+d+Rni6ko3tfLXyWpHG4s71BRwAkhrA2N82
BYFgqUPEmVbUxY0+kNmFwm+KiK0aur2Vw+9jN5jWVH3GurIoYYxBLT2nJNs7TW5tUKsYF3qp0Mvo
TMISVFMb8Ksj9NSpoKOj8Xl6VldAEHrrSSGMoPeV1AUSDeLbV5LI9EDnyt3SqGFMRij6y2CHV1EK
qGGl5/54N6LNWvdpBHUWJKl+OdWREaStUuvGzIGm4W9wllj2mi46b+EUi4DskNLQPFupuiyOY5Gm
95GXty8tpSdnJtWfp3KO7gp7VltvudiErKU7oM6cvmyjgDUQ9kODTGSkOdnV+mFKlbwLw0JvSaPh
X+2ISz/QnC5v2whqXCSFfGzihqkYGsXnsooeQ5prJ8ug54U8QQfPaSxT29LXseL2+oXrF/Udel1V
rsOwLt1L5CnWTRnLN3du0EHV8wgBW4v1OfDQ8Sfg7SILpSAqEUIUpvwp1ev0wUuHcMcMhjSGqRPG
jqNQ+5A13fC1R+0e1Oi2EGhENREeNAnTJuUhpL8/rxqntacVRw9qHUnPdw21Yvh9puqj4tdstWqq
cbqWrkfcXOnnyW0ToRDUSZSTK3SdxkZ5mtgYLqYhIlWSQzzP6QnHZHIoTN89o2DiADs6LCZd+52M
hvkhBrxGXiXUQQalE5uGbmcE5rBVGKz8gWyR1J2vNDJF1+Anw11r9Pkt4dPEMcysK1rp7UpACDyG
RpYENZUvcxi/2pdpKBD84Wzk/LkUssJuTkTXomcq9UXHMxNqO8nBRVWEB0s+V+3gFVeCoBETub3D
YUzC59URQ9MeDbrYUbAXaYnMX7Wp1Idr4Wvp3iGsi1/Ya9NTW471eD8PWsr7VWs58LboBRXjC3gU
ruHWK99sxuGCS9J4iP8jwOaBqUTVZav/KqxexUso1hnC7S7UXHmf58X4+F37529mth8M9u87zh6U
eN2GLEFVRndnEUZ8PzepSaBIc1MMZ+g19lrzDSIECSB3x+KgYdQKo1ejMMHXGUczs7ea1WztWGw8
F1x7x8ysajf8qTviopGeJ7t//nKffIb6x3djnkMiuwuJ4jMtpRC9LPXQGM51TVZUTa0Y7pP+V5PH
T02l5UOwgmOj1Gm9u58vAKl2I4fefjgnBmwY/usAwSWn+Y8B1X9akr9sSYIs+e62/yS2gRzy9mNH
8uMH/uxI+vpvixIVTrr1gXP7C4fu/EbxxRZggEOB8bPctb/6keaCQxeea0G1WJzLOKj/6kfqv4EQ
WwYrdCkXcMu/lbCATO7T0vGhlkAjM5aZDUi5D67CdzPHqWjbvnQTFNWyGC+0VGF+yIzsdjRtAl3K
fj4MHyBSXnxASbMPPukHqTRdoKWhq7RrQI6gTOFX9teW2YaP2YwN6UIu1NO4pbN1qD6wpGHZmVqA
XBFGKkGcmxCEyONkt8NN19Qme/BU5FgbUi//2vfQVnvZeY/xWCE5mD9wrK23oFnLhdKKeOEQL9xW
jgz5JkVXQLPqA+xaFjBevYX2WoJ9jZB/nlN/7JHsSusWci142K6vw/d2YcZGWn+ZUULjKUKf8DKj
kH0j8LJ/GiOJ2G1S8btmmgBo0bNjBWlG9xp5q1+sx8lURBJH4+XsNlDjfCbD7y6hLTdVCXVm5fZF
dO41A9DUB/w2AisLa74yrRNanww8EsnG0IkGyvcZqMI+d0K1sfswfhGTSfSZ6RXeTrn0dsmtog88
Cfw5RJsDqoVatU+GPNqhXvSORGf0O70aa3M9F4VzV8QRAnj8xbm7mhjSoP5EkoqnhI4krVyr8r9O
mCtq8PCNSzcv7yFt+00bGGEmj12YpRtqCUwoYNBRZsrRv1hmQh+IfAZbfu2dkfTjxcTJ0N32biH3
EROaPfpz9XtMAlUb+AmjncDCQ38n86E9YjADiIuG9Kby87xFZlXmV4JSVke0OadX6AsqRLOcH5/z
jvAgp7NaD4p8xUssnqdx0YO6/pFmf9iiBR/STY7C8IpjP8bfMYE8Sz+AM9ow0gZkkN8e27Qg0NOJ
x+jaa+t3PF5Tt9fbWSZrDaraO2Lh3EIFP+c4la25/VI2pqPtmVbnj2E3pgekFXKDaiBdTFhO/1YL
37t2hgbGKVjVLRl/jUvaiDS3ovKp3EaQIVdzq6L0UepZOPY3yGGTKqcrxuxr54o+uR0mN76mvTiJ
/Ct3l3FlgBMu4doykqTGPzG8n6rkDOGR1MNI0X4qREW5YLU9ReLAqHwSxkPk8RmhkmvAGHeWGqPN
UPJSDBiw9uU+LEW91SqAs6DdnaD3DfcIiTnbIuoteLyBHiAjQhSfDahgcZ6Qr1xtlF4XgWxFuE3j
bCL1t0UQgnBj1URmsc4zcWG0PhW3LoCQVRZUDH+fD7pNWpMVMpFrQFTr5UQskOS6d4jvaY1aU7gu
vYYVaJVSP2tA/R0Mpx0BtU3ImTed26NRNMUmIcMAe50/nIjBo19BP31Hg71r6cbO8sJRsjtywixu
J1Fa5SqpHHvnpCWzDV/dzDEPZlal77NnPqDGI4OJJCrCXa01HgloKAhj77XOyM9Mn91AlSBXk9EW
dxha2LU8zj8rX8F0I0VvJPaN2iEdIi+Aas1hpsuuOfQ++laTE53Jg61V5j5to1uHvg+hlSINQklH
ICWwzV6NKkfuMDu0ajJnudrVcI9aKF7rwOEPLuwkSG0OvTUjNW4dnElrtqdsg0LePtCbLXDQ+Us8
oaW6S9vP9I0cU7oG1O1PZm5ZjPXtdA19MCf5gLQot2vde/R13UU9OEvAXaTYU9yKvYODSah90dFF
Y/7NovlKx19HRRel13PP3phxfNhXCPz2neanp0Fo/riJVDRuQ2MGnVbqRYBxDhBDkslz0fXJjrDq
hWVrvCHNnFY0sPrtGGKmQbjVbujCkttnclFuEJ9nm3CGz0+LJedqG2bKg+ppPiFS2Mi55mYPLD0Z
sYIjAyhPCTj4q1R5lPE6kpa+zOYd+cv6RveYlKeW220b5RXPEtf9NTmjSKYibv9zykTKsDsaVNlY
XokepNuUR/o904b8XU1W++KKyLpzCZ6+kRID90RFvc1p61/2c+sdUvxlpGdnGsMWD4ReQL5fd5dY
Jp3zWJlvpmJJm6YcTgDJy0tP1Go/Yjm7Ukse6NjKjqdqmO4iUSzhOppIMGn57Un3w/6kbAo9PbbT
oE9VxlnSY8vMoyvh451IUD/Qve9cb5X1ngss3YwWOpNhMF2P56Oe19gMsrSgoMvDh5i+RIy8ylav
5NTj3Ji1PjkZfab2ygilYuA+/l5A/QxQpMz3Zm9iewlTt1kR59JGK1eqB5qTxmlmBHOCAN1zhHf0
lPUm41vb6cQdczVjO1dpvZ4G2cLHmtr4qZa1ujZnBwGsqsJoxcYk97zRx7cYT8y9GVtIYFExjht6
gZxrDUJUU1Ylvon2pu0mleIhNUXbPuvSWaI+JmcQmf48aUD99/T5m+QJMVpYtkFbOR1vokyn/zRX
pHhjRuhI+RQMCiazH4tNrY/zV6/tnU2YTSV6loQtOGYK3GOFGcJVFE/dbtCL+2FEZYJNEn4Ah+gD
tzJfI8fPb8x6akkPcY9dpNVrier9P2L0b/8/QORlks0c+1+P7O+WWfr/CrABER/0Q6X854/+WSm7
3m82v8qFy8LBFRXf/xvde+Zvpg2l8Lsw5z9rZdP+zYCkzBO6QP7A4/337N40UAJwNnI5EpIhZlJG
/5///YOeUH365++lwfYHDfG7cyauXJuDFjI3im80nvqn2X2XGFnZpAl6n94VA3E1IBiCskz8Xcxs
duuUhtWREJJ6Nz76ERLlEzI6Bmes1jBGOIg2Zifu0zAxn8iMma4r3KF3zGTDV98S43U9m6AF3GG2
93VjotMDKmNfJOjT125G1Rsg33GKNafpFOE5yUbmycuJt8xEhRo7R5J37HDsyo30k4iexzQNIsiI
xwRrRyj0uypIMWWgN1nbTFPW1YeNn+wAK9AqoEcbXWrmsQknxpocO0pSyczYiA89bXO6BZNzaWhN
WCOFQzPcAbg4DrxyF1ulXm4YJ/QvesGXWqMwbL/xKctzaTHFwKpbKpOJnWTu7Dr5RH8CmT3EBsC9
ANmRfCXaYO8TnTC6jTkTcc8JFrV3aI/XTmnzHCMeDL/ObFa86QVS3pphGr+Xb/ZksSk+lQPGZd6X
43W46O8Jmijva+VVV61iMnnBJDKiNdIZwNHC2PWWITnKr4B5IaKmmTHNzUiTacNslwuJjZnqSTcZ
xuEmHmH1JDOu+Ih3TwjSkEH03OhiHfou3XAfacPW9RgE4ag6UPbUCzvDv7ZVvORnY3DYK64fpHlJ
0ICTIN+K4+EUd0RLjjFzZiInie8QQno3Gl6wc5rFReAT3bQvBMNikmHEfVhlFmJE7o6WJ9Zh7DC5
ZeBJtbvZKqaN46biSNjpAMI266x1Yhu22s9wKfmbgUCgx5W/D3MhX5quMp5qJjgm8R2SVKYPfpTQ
ChgbLQkKK2+Y/JuxphWHsdS/M5okugFVTY3pjyQ4Lx7eVyMclSI0TrONdRtrw5s3Z2TTUnqc6tpk
4NNNtK2sMS2TfeiSVHPousmYdknYaScjRHUWDIZbbEx99Mi2U6a/TIrszB4Y/tcd1m9UWAgMRv+a
sBBhrkSDdqEUk3UZ41wa8HflFg4mLyVFkxhf0czmLiJRwQ9XWpoOyEE1LkSzn5hxei+yr6ja8M7L
IK4dM+T+aNRxCLE7OdADomcVNWI2un2IXpmjA3WZfsilnJInwC4+LzP+g0yd5fPshpF2R+qwYgQU
XrpFQdJo36qnWBbnkHPACclZ4n9J6QfyBjNMRkDaMSJ/pFy7Rq4/2EBNEKdjPdXndt5AxMm2usM/
tqaeH+TMADFpDQ4pCBouMSTKjarJ0egEsJW8Nsi0SOFUrzLW0KPj0N3d83hr92VkhmSSNrhQ4PwU
NaNAwTQ5NeTayUbSlFpDRQSf8B32k56MHYUtAJCpHTnx0wM9VB29wwkIHVTkU5sqEhZ7ocjurUb8
Ymm3ccck31gtBj2wHjsUBtpXe2anycMmQKOwGz1BMkdiILiuW/dMiPddO6tojV1j57Wp/SgapCE4
5IEUTF11NXj6LZI+A/kDqVWa8uM103hCT3JylbzaIQW1hJuT2iXN9lp944Rw1mkrvMgmG/YjUqU7
jmXeVUobk9R0UDpWrvpr0YXmVsL5gOEYTzu6mudEetMut/Q2iCkEthORLIwg+SmR4cxPmqaq15k3
v1QhkdPY+q7murlshwzPHkGyQWZWzU6GZbNNHU2/JA94uELbQmKiwtjNbrsrQXdsEmYaW+wZKahu
Wy2maLlwIJMg73sNnzqQngmuyqpzo9cqMdQ6EnECSWcq14bfQQNqq+ZpIC5xrxdR+0DB3LIwBm0X
NeN71zj5blrMNG0ziPteGOErjUzMkXhjrYPDMA6ZiWfoh86phmxvYkNmqpfUW99vEDjWZNbvkIpa
Ry8EgcI8x73p6gVYxflgnRYKkACnD1aFM7vniawsoE3EiacbDwwqMbSSzBpp88gC2KJd2sVnOg/y
97LKKmrRMcmemTkVjKT6Zkmu8raFav1dNeO0qodQf/KbSNsAWUFeMZTzufSM6oIedbMvzMK7wftb
Xipn1K5gwjy6dF70QPgU15GanTOqCgHQCviKONpjGp1AL3lIekpbBnmbwK7IDJOhObLnmRYAmdJ2
C9S+N4R5NhdfxFzETJvoOXCEqTAWufjFjgQs5+sGksRKah1E6RqsCyuulOukIyVcN5tboO7VzTi3
+hnENgCQlivd5SwDa9jqI4rqUcTW3oB9seoZ9x4QlKbfTGUV35DHFmsnNos5IK17QLFjOdOxdHlj
B+kk7bWDY/ahirv+NibA/StD0mhT+9I7ydB41fzuHQFO9Iw1bgQFWOqBsuyH0gJIxjOVoabIYGgL
9rl5kiFCJAv2b/oaOt0Xz5D2bq44uc7hDEQymZ7B6SGdyBlnuW7zhrwMyZGpHzJcbptGGPW3CPbW
CjosmAbPTHFZd2WFz3OyNjPK2etcAffJ1JDdlMI5g4ooT8XcdJvlgEbIUATuKBjiZqg3ShQzMTBL
dkmhvnZpfA/6gVKK+iKZTbEazD7fuyKF0xbqhuTUzeaa2RxfaN8xZLXgF4+85TZxGSZvRpbda4ZT
rc1B6q+xATajSjz3WyOa264X7yHBYR4s28DX3JcyF/pa2i3kh0x3j/4UzqdaZ2DqmvKliuZ6O/vd
cUByz95Z1xwxJXqDqOcsP07FwWQoaU9MZlJHPCTDlJ1y1jxxz47Yikb5OyNt46DW013T5/Wxasc7
C3ThkugFW7a3GaOk89eW+pPGZFfdYYjqg4Qw5wyumDlhZ0fwYjtVS5tRFduxY7rSaN6XMDKehYzC
F13a5hWTpDyAT3cjRcu6sr8URiEOydwpNAVJfVGXfXXRSeObWwwBdcFX5WUSozdfKRAko+49znzY
9WtrA9aEuaDnxAj7BvcW10+EnH5ItzrV45VRuuF1gz6s4aZXebNDKXmOJ6TntluzRIUXMdEF/IVl
RpxNBm9kVzi3IdlaOwZ8dodYE1llF3fAmxQaMc5kNkStlcUr/aRJRZvHmR9bKD5LsSlFeVW5LaKV
wb/A/vZuJ9FeGgUWSWgV4aCu5jxZ5TGRlY2iq1YXr00OkGJW4/2guutatFfouy+p1pKAXzzx3Idj
ME2cd0O4AcGU8pijBkJQZZs0Plaja9mnkpDgk1OAGIsdXBuTy5hPy4r52gD2d/FxmvnPYOQXgxFD
CJ+pxb8++F0mX4jRfCu/H478+UN/Hvk84zdLGMAcCZ/2l3HGf/uQmZtYVCr+hw8YIK/D7OKvAYn3
m4A5iYwbGjm40gXf+deARPxG/A3+KbJkl/xZ99+KwhGf9NrsedQhzG2YwuAH1T/ntkhy5VuZK3FR
1lbfyqCPimTcNzYdsTDWgZQhHcBwh/KKuvLhAy82whap8Wv5tf2GZKw0xHrSsfeMNNFZvtSSVm6l
ALskhYoflhguZKlgAX13pf9mLMol+N6HY3gWX5hpOIY47HDG52+O5nWgPJubCzNCy0Juoxb8gQsA
nnFGkoTq7p8/0PS4V58+0tKF4OnCN+twNxfw73fDJA1hea0xn7hA/36qWldDWknCjrNLLQvLxyqT
mtyLBsIR9bgvx6Czetfa+/R+wi2MdVEdQjehZJl7FEyAncJu3hktDSivTFxzA2WEXhQ9n3uyetp5
Z4VldcG4Imw2Eb4owrQzzKkIQCTvXnvEY4VSCqjQheb0420+gxZBL2K/4T6FjZLKxYTmwzSMNo0b
psUaKQZAkcHRlBc43BEE8C3SvG2oUHBNDkCPRpgsgsHM7bfGBDc0WRrcJZC54kw6I6N6CEmgMofE
X86tyzfXEUI1a9qPxr3AGTyvElfxt6kmlS/aYm6NqPOSFfYgb6TCMuoXo4eWEzgVZrArPDh8o48T
8zSLeHxopB2DIpSaIe4N8lPVhVEB7T6TluFqW8ednPrZMEkNP7aNYv1FCgCKZrh2f4vGyrjXTES1
T7UHvuXVNFquXIJHCSV1W4HvaGqPM2kPC2IOQkfjo8Ge8P9SPfLtDJxK9LZnqXOk0slFvA45Jjir
qikxflr0ABO0CaX9Rgc9fOwmx3/su4YfB3hKSSQT5yamhpoDHSZXtEkmi7vgWG2rnmPE6/Xe4vRf
bLiOAEKAAnJZEi0HjDnarZzvcAUtJRXkWxzUOKLi47zcEndpJ/gyIQpxqM3qwpcaJnqkNZobzH0/
XGJ+mG8452BDS0ceXjMCfLCWMhEEljQAAlEpCb5l47iDC8bU4KgTutE6t6VAKjmM073TGmTt2j4T
hCINLTquUN/eorS1L6cpch41GkLnoa/za9PMojdmO5QrWm55AeQR962Msv6pNvV0pGZgycYDvYoe
9YoXxOnAFWfymU1HY3QACdmV6z+C+lTtDZYxzVnbMMMggTYul3dIkKdd6e2Ix4D+vEaXvQCRIpb8
EuiS5jplRRpfhmLk3iVmbQ3vU4pK/oX/WaTv9YixOyl02lAOveGAmEL7TRkl0Jq48sU9UlduDy1x
6aBpHri3GUOyAspeVb9wZXi4UPzxUCJxQs6ldK1Wz4pOzS3NGx4EbXa5wInBWXWHg726sA36Kyta
Bs0+AneVQU0ycESattxDy8OwYZYdl96tFle3M+IqXwmeNn8DQ4vrQsm8wGPQqF6UcWY099k8a9qj
1rmzPLVGozWkhaJe3eYTlMSHmXa8/5BYepHdhj1U/rHQGkmVYJqHuYfxTMlccC0b/GgLVmygIeb7
ERei1rFwhrmXj1uLXSU+1hJWOmxKFjIkSG5cpfk8xw5KI6ynjcVvGQeTPZSRqnGPGRgBkie82Hke
c68zrlIiLXF8RCKrvrjmAJ3MgUhE36TgM7UsAjdLN6FJXyloAe3Cjo3arybj0+ypYYcArjOGs90Q
UotJ1sOepjEyd/NIazZGJvhN2IzSo5LYLyjvG3FOCf0Zn7wulNk3GywLFbY1UVxuCnSAxlXB+2eW
K6NLI+cQloYHuYAJr64fYgPJEfpPpIkruGP6azLOeDuSyDuXpu4/230H5msWd24fjUMgiqp7gCWn
bbJWxWsWBrr6Dp2ymSPF5MjFfKIAAboSBDfa65ih1V5TgzOcKgslevIUxVanoMPZDpGeFVJ5auia
mF0QOY/kORuBWeivGi4loAFU0DT7IdPGSMz3IjOi33MVut9GOh4rxpflVZs7p25o5LTJ8ma8cSpO
2LbZl5uCl9S6ovV463F+fwW6XmyNUo/CwJ0LG7u821z7ET0A8JnSBKmU5ZdJHeUPRkoV6uuq3TK7
5QTWj2NQNpjr+2Kor/p8Lk621XebbnDzG7b1+jXF4n7XW/n1gM+SQ4JUVL0T4kESIspdTzz3XaSc
/GEoLBVtm7YsTxiYIUNjVD7mmp9tPdMC+A76ld6kSyp90pvVPS+d+rnERRPDd1Tl1kv06ikG/Mal
pc2Es9HmSO1gHQAcMJq4iPpizXFOvTMaadCVMd4z5jTaDrlhnO2IYNN1rNuQ7UbkBOVaYQm+kIC4
sH5IjK5oqKqDS+G/jWxxk4ZVvVvydNckwdfPadbUA2+p3jmU6Jh7KAMAz8AGh3d+jTVFU8Qq2aCl
Ay3VZm8L6s05Az2VF2zY014vy+kwaMI/zG02bCbVEMKxtMslzON9XCrnvk/6+auu5+mFTybRRVM2
BEj9c4XyI1TGpiTyTBRZHo8uRvufSqIJFwAU1hbxplPyDnM1nVcMy5Z9rsR2R366w08FWtHzv3W6
ieP+n7/AT9Wk5boQdxbBj++bxDX+WCDJCgRcmtfhcWwJ0wW+nROUZfIWRAvuERfOCY+ot+YXn7qU
Xd/NLfizmQLbTEgwQxqu9TnlyQrn2I0H2z+CZwIuaSXsTDU9Qe+P+dcPE5MfJiR/8zkOSiba2lxd
+Ck//nV9zBBP+VF4tLKlxAGWwksD/eALfGZ2rH++lJ+EdR9/lKuTfOJSoXv+57gOwSaiRVShR3xL
COUrOmEKMBvNBnTz//xRP1fS5Fbjl+YwoCPK+iyvk5Hv1tqoO0ecceJcLtNweyCRD1gmkDy38n6x
TP/m85bpFyAIX3cspF4/XkdBBC/ItsLG+hWHj3+8A8sYnhdUZPjTawXA7leX8+c14i3zNRJ0XJfm
wufZVlVaUh/JeTl2XQK9a9AY0Yih+uOg/C9XyN9+iivw0y4DuZ+CZHKEkDR3lHOM2pgOPfOxnQvC
+hdL4+8+hQMlVl4Ul6z7T0+Z05r0wTT+Fl8qb+0k9FWMsf4f3CXbt8D7A6ryOG5+uksZ0fVJnVT2
0QgJD8XHwT0BtukCYAlbcW7rsZ9/caT7eftgT+dh5s9Cs/cTnKhM+nAacsc6ovBxnkXnRcdZ7ylF
urzyN6W39LAcNbN5/fMD8POztiTymIKZp+kbPy1I3wASOde2ccw6Hq6wYptqab+v59TxfpHa8jd/
IovDZc67yB/JbPxx7bv50PBRhXEcGyZhEwqoi1m15HdZLJhsOcEReP9vinSX9wKdgiVqk/goMNWf
PrTX8QzhaxPH3JHNviyg6Oa6F+846PzyQftIFvlxNyahAzkPcl0fQ8hPT1rsNR5MDB2osQLgTDAE
oy9s4/lt3c/NuUpzuorhRJk8DtR1A7WWOveyH8OtxdyWw0Vlv+URDECBSoWqE2hofO1lTp3/Yrn9
vA+BWEbJ7bObQyD+rF0uE3tg7Biywhn3moCekvolXYYniOJJEVoRP/WrV9Xn4EtuBQJmnirejgsD
zl2+03cthAjznhHyijkCaKHWHT2T8wODqhZNl+CNFdfhst7TRJxll8uXvrfB5+N3Hm+lMiQRCBFT
8C1VElMNpHbxv703E3Vi0w3iYeDefTB8vvt+ukRM2IM4I47Do+jWIYuKiNGsypmz4qEnP+rffPac
JYQZmAGvb4TAnz9QJmop+qf52FuweRVI/3Q1SQiLvFh/GXT704POh9E3WrgJPlvN57XpzYZPSKs/
HcdoHK+Jv/RPWHT+L3vntSS3kXbbJ4ICCSTcbXnXvtlk8wbRbJLwLuHx9GdlUZpfpGKko/uJmNBw
NOwuh0J+Zu+16XIcs6ZL+vtX9pfbtH4wRMzCZNPH7eyXb12hg80JC5lPsN5pLLFEcmXxRaRL/PsH
skA+/FwAudwu9dnt8OLImdXP5E8fWo6wa3Jrb+QAV3F7b9LD9WvY2F32ATfs0p7rdGASIiPpX+Ix
LiY6Es8mzjHXx2DVTI9xkjEnMEaapTVWm/p18ZQ6mIbLKIupF77CXE8/xiajOR6taL7vSpjP/xRz
99fPxxFUVwxMA3bFf6lEknL28fq37YkFjb8Zy746F2OMqdOc/3XR44IJ9l3ULgxsvb+AKrrItLqB
WBqMTtBskSzy+htkDFvDmqqzLIlK/YdTRh/Lf7oxImbnfgg9kn8KZDa/fkrlUtgC75Y8uc0kvwH5
Gk5KhsHLdSDiei1TnWbJnQ/VBCrvH66QXy8RrBOWa2N/4ZEhfXAG/HyJyDzsEsmu+yTwFBcLuVu4
50kocxcg/khvQv+LK/DIbdg4i/YWji7fQFtFycHqZkJ0LCudH82+YIoI5YxbFIlPuq7vFX9e8P0e
VQE2ed/z++89bNogKSqWKQe4UBnGxAxd8oMDB/sFNQLHncFhsCfaSNSnQc0YAi23ne6hCjIaa8OM
uV/G4CiEXjNEHrus0cpuHNPIiIcTWfEwMm24xfZk7CciZ+6rWeDTBZAPVXnocESZJFuYF8bSMBKQ
mfcB/EpVX7oM1sray+tl3FRzs9BAL8lp9BOxhuzv9PkKLQIAgRXkCKdj9m0OI6wxINgV3xmBJHnd
1yIXX0flZwzFjZTvCzA/PQydyUS6h9HBnz2jWSoymBlR7gMVhPHBHTKakrJZ+H+Xxvu9+CQOhMkL
7CMOG8DS9Wtc5gQbMC1PxjUmKEXjPqspyI6Rb0yP9cSy9x7VRV5dsqgZuofWbvlALCIF1bYSRZ2h
cDA5L1TfiWYnTBeTJ+lWl8h1K1IHatF+nVqTVzHaMMO+IWjt5Y1qhB5FjTkfM2R5fpCX7rw5I0/3
CWW4DLaZlcrLwLsJbL9Gg7FLsi6bdm6N43/DHITJVbfEDML9Ah7GdrBDfiPajVB8WUa7PCL07Y2n
ibQ/CNrZwqkVmDB4AbfkdmvdQYR0ukeRGDHgRS6X+J52ERm3mL2xXgMxksdhYHlGmnU3GOsFNAnZ
JBa3cGeJuIJKyCDuyvLGxLvAJhOYJyYDXEw3IUy/JYyEmZaPHhkhR04LiXAtYMoY9XCsnkXpqHzv
oyrKcNr7rnVrJIqz4VoHMLPn6lsil1FD7FbMzYTrkYeFtn/yAUPM1fQdind47y8DoOzrCI4EcJ6M
HU/iWcIQfkvATiIr6FvUbz++VnDjiHnU35nRs1P/rSQBCfa/M4tnwdY9OTDtZTZvdZLbuHIdriLS
p2mM4tzhfbVaPTO307b/MieQ0XdTwhz+x2oG4u0bfBZdSESS2s6vPPlWiFRPYhXjeZIxaH8mYTKB
vx5/ntszZIyZXXkXuD04KTIUNOmugqjfnosg4mta1AabhnyWvLEyHKS9SwHVJA/oCXgiwmR2AlvO
ah8BXDXT554kMmNg0ONk5G1UwYTae8rFs5umhC73Cm7WN7jvXLKp31jyYRY1U+B4pja2+f6NXsF5
zBoAt0PMtIBrBeQtiOZYdrb3kcI8Q/OLBLeqwXwmQ405MQyXgtm8kTvpKVe49FFKM5Rku10uPhOB
VIanwoQw0WFlmDqfAdnSk5/8P4Hs/5dAllg8feD89z3p+a1s39o/b0l//5E/LGTyN4cJOvpTmk0G
EYJV6B+0ZhOVK0Qr/GC6gbmSF//YktKS/r4VtV0wVixTNZ7Zxf4EFesX6evfSWExL/58VuvynPqD
5SgnJSen+0vz25CPmqfR5J4Li13SmlRVwR1HjKjH1wxm6q5BJLCEEHdIPajC26qc8agoTigVbBak
EuIphzpiFKeWzDk1sTmYOOwPfojke93bA9t6r8kX8mxieF3erlBDIcfbjikIe5yZe5lcy5bYqmjX
tXnhXgbZtO9ZND50MvHCtbBY/8jY9XY5FJR5RzL9pqZqejL8Bczc0iGpWDdANkyG4uCJ2DMi9SCj
bBI54U2tqRA2qDZpD3nj9809KKrsSTVh8MpCzYZVgitFoEIf0vpMdBF3sGoOPhlIlCsegrJhOzHj
RXdFCAS8XlS1W2RK/l3WlO5rA1kOkV81fsYljiXD6bxd1c8YwnFVd5BdLUAwlU1IJWwWo95nS5Ef
U3Apn93WaT5ZrW1VK0Go2HsV+O/5NN/6JsJkVFvFfOQf4c3QuzYhRYl5IEhRbLvUDtaTbRb8HWKu
HvqUwJG1Oc/kM49oeMjUw6K9wluGZ0CGhDWPwhkOwF2L+1707Qt7yPBoqXncL4s3PwStNZ9wjjSA
ABOcXdxgjOQAsTH5yvXgPKTZMHDMVZZxBzHDJ0LZhZBZTeKCm7B8jlkT7ReyBe/xoHjrAfM3hjG/
s26kM1gfDZjWcuU2ln1XyajfBDV+ssLzvOOQiAUusDMPCLVkvxVW2ROtpQEIoMJ29giYm936BAQi
bJbPxlzUjM1zY4/rezlKmIXvZmF5xxgUxdNizuFtbzTVpSJSoNjLhXTwqV9cVta7aZCd5eLN+v2/
u8ySQ3yD6hVj+zoxCw8PSzMEZCKd0rplzXwik2TMEWsTIJkGO5ZTj+hXsbOvhhGI5bIF6SnM9+tt
4n/Kk39UntAE/d0d9SZpufWp5M/3VEtcf+gP5QnQP8h+LMe16oRO6w9frvMbUrxfCYHmb65AqYBH
1me0besH/79bK6NuC9eCIN5V98//5taKg/PXWysDWD2IYm7JbJs7/s+diCKBrOkBt55giMF7yPPI
HYB6szidV7Ur0dlHhccy2qkeExI5b5cxMFbkmphiXQZ9uhVeYj6lXbbMgFmm7C5GgJvhCGfbFnhq
D1TJPnVlL1bEqWCbdHxmLKuKZB1NXBm93Rw78XlA2H4BTILhr7LySw2l6F47y/YE08X7EPPmXuKh
7NZRYYQbIKHufklidcxoxG/6FuvfsrRQj+yeHmZVjL519ibud1nhzgSGsvrEbdUPpLVb3WEoq/Cx
aiTEB6wA07E3v2TZQop6lvs3AFNCG+utD29d0h2MgzvtsFi6d2M4+fQVbpDjYwXkegSPIw9Y1Iz3
sVLNd68GSGWnpU8WS6G+RRNeKSyXtbhP4rrfdzYqT9nK8ZRmcAVWc5bO4NlS61tqVuY6ddhF13lt
N4gwI/eWkFvoElgP3ks34iYNDJtSeIEINicNvKCpeUxHvfaO/eFDXHfdE5GHREjmhAN80XqCT8rI
smDdOxKLqxsBu1vKgFGWXzJspGVcWWaiUMIHIP8tDqO3hl6pJ4xo/IgU1OJNLvMv+Lm6Q7Ak3U7I
JHlfzD6/JKa6M5bIOWWqq3FwLAtEuRxAi+O1hEr5xOEqMm8QnUOBA/NhRdknMp6w5vEu9fw2Mlt3
nCn5ecaVu1ZV4fJCpwAxoQj7C3wy40B+SLyfmjB/ZlMQf8y6ROdRlzUS7nkik7JwyX/bMCsE+MGM
JGOBzLV3bBRmux4SbUsipknYJbaQcBdrenEekaWIyRCGLgeqJpEE0/gd0TpmwXrSw7QypyGp07i8
T9BFrGQze5cIdvrGQUO+spRf3NSdkV4sgw5rnRUj0CWiczwkwJBlX0Jvscgq6CP5BUCErFcZK+e9
l3OwV6z7D0u90LugP4o2ZLyJW7bCwUMUzsTa+AaSy2JYx5wzrnJukzwY3gE6Z0dTi4LG1DDIEm97
JOZlPBEX3rktNX9XfgiqNPxkFG5EgmYDlW4blJ742oxm269ic8Qxjf0u3EL+E69dQHDtOiqb/kH0
ZfNZ0eaug3oUb5my1bAe5m5+bNky+wdpZyMOebg8iCvmFk+4PUntFYyTVR8K+8UezPhMiJ780rsN
BYegJYjWnlryA/Zy/3Pqmd4NMJrZPNIuB89YuisD5aSH10ViAs83ddRWOz8uizeauuCDAqmN26Le
uJiRbkTvzt+cWs3wZ4SoSqDZYfmJ0NJWrHOVdh4fVqleO08qvPReWh/hD3abwhh6kCuAVS840btN
3akHhrgBJKOE77MyEXHjQ5dbn4nDmoPZRfmFLXaSdbKRcdDDWurIlKwESEASn/A3wgfgfZDpvgLX
l66UPXtrI6hNAutk8mgNhrMnuTSbKK+6EMaWp8xXK4uD7SK5mQ6WiXs0APCX7r2uzo84L5vbTMLD
JNXC7h6Vn0jeWADaH7MkxVqOGNceuZmFINWiCRQ4Mcv158EjgPIgGSEeGpONJ/PRub2TrTLeK8eD
+NSKdLifmxnxf7bEAZSZFHBOIIkFM/y4+exSKX9r8nh8nWUpbmAehcW2G1sfM7szgzrVaV138RyE
CJWtWuvJxxCpBhjJtTDrpygD1OBnwXhW2seIrBuvB9ZGqT2Og3Y7Btr3OGgHZKq9kJUgFHzCHoly
vt+32jGZUIUPCNG0kZLgEWIOO5S8rAGXrwtqkWI7aPdlpX2Y5tWSyU4kvZtMoZkBMm9cfJsS5Xfy
cbkaOmccURnZAHPm4vWMfzg/+6sNNJwAz1pB6t6JFLUOeFgE9kVuPrrCi+65LU7sAbPlOOCAcWRZ
PjZMjh970YYWjn5CAUc29p9sph5AhbxyPMVMk1780rW4SY18rfykLu/Nfiru0UM2uzYqcMQnmWRQ
V+DHGBawtY6KuG1z2q2nYk5ue5wXuwZQYLqxifIFE2F2n3o3M3ZkNsS8Mczg+KqDdFnRGbgXxGAu
YC2KVAD3ISIiUruepK/cY4rb9DnqDSYeMQiHb7YuJIlhpKbsdHk560IzqGpKTl18Rrzw91oXpOOs
HJiZeB0mXa5m18p1aYzlEAkiqFM5Aw0VHXC9Dl5edq17e10Cg0uniE2omsEh3Dd5j4BHl8vhtXLG
5BI+jkt4rAgzvQHwTcpuqQvtWZfckS6+9fv5DPVIXIJ0UQduF96eat64y66Vu2WNzgNRzDFgNKRs
CXQ9A37ShKzVMbsZQDdNAOTQEYV3EBwH3SKgKC/uB9028H2ig2A4rVb2ta9orz3Gcm03rp1Hr5uQ
8dqPtLo1ofcVJOLRrqRNLu963cIsXjAdIeqScUNC621Jp2Pqlkdcux9HN0KJbolgEGfHVrdJ7A7o
mJJr9xRfOylJbswaI6e3S4Y0uw91y0VHRoJ3J9xXSzdklm7NuljfNNnp07Et4+gsW3j5VvVU0tOh
4ENFNcTwHFHL6K7PxMESr5EDBa+JbgsZpLfNvXvtFm3yvozV4rqZg1QQw/nFcruEc+xHq4mtmr6T
g593vtLtqKIvnQLbn3e2blbrwPXWMZKvcJ3Syy7CqtJzp4jLO/SdEX9yatvBHOHyFV8j1jOdrRoX
FaHTg72wuDdCTNPQ7asoI9DjxCVrqexE4gKS1jeMWq+UvWCjM6N8T4fJegkIf33GglCfkEM+N4Co
t4XdFEcc4/Xa6wfGntX06OYLbJT+u0zit7RzX71+7L+gWqGCkMpBy+r0r96VG+X5+T0M0e0oC+PC
h8NYUdXZsWS4+91eHMCcXd1k2WpsbB+VU5/kB1XN3YMN9Z3Q7F7GzapWQRQ9AzlT22Kxlod4od6h
Dx6dwvixcfhf9/QP3RORX1qb/d/nUS8Jm4sy+dmq/eOHfu+ePGzXkuEPnZP0fQv0zn8aKN/+zYX3
jNAI1ZHvcPH+R7dvB79pcbiAts6yxRImc6z/a6P4beyZPJddjMVM6d+0UVdm/E/bJBbJCK08fiXP
wjTpyn7a+fmDCyt3jsTB9+cSzstQ+WtFQ8iXb24uyWhvpzL8PJc+UToIKeIPZk8cAbvRCvpu1N9C
m0UcrgZ7x9hXhCjEHegTc1Rz4pa6DNZbH7a2BLp2z+FALwKUrnkz7TpTyYZDNfpAOVC+XOXrdTEy
0h4sQ311tGa9iqPgQsqj88b8iZk/fjLnza7JeWHPI4OXzq2Mb9lESjQGxGL6puVkXnpK6FZu4eJs
FYeaTyLomdly7e/dAcczeM6IEHdSpuVt37HU2xAUYTwbkpAfXM5YkGqtQPWwUK7aAhzSBpncdCvU
hBWOruVzTrtlndtu8HlbKss6CHY1l7QWPYRuly87s8WKyo/7444bG2VSm32RxVKeIy2kdfwFRCdY
lU8qbcstQFG5MXB8EPVojy/X/VhROSI6yrZP9hVeae7Hi+ntry5GcxqMVyZ5yaZvJ+LeTbSlVGBg
epplaLyXusVpu/awCVLKkTlcr8hC5qQPr/JdD16eddfgum92BjCAZ9Uw6O9rGS8AYcb69braReMg
nn+odn9oaGOteSb/kvXSbGGt/LGCzsk119HEOdscBQv1tmV/Tcw6YU0tBxrKLALbB70yIReuWKMw
Zvp/3cUKlbPvuv7xxzIsrF2FHwH8BFqWq5TfsefMu9RaFWfReRVrdknhS0rWlk6ZQE7TkXet7VAR
a6pocoKXH3L4smMTKnqD0b7ytacZ5BQOAJJNo9WVzzKioWZ/0wX20Y47563Gk08oSYdJju65Xc4B
I1hep1bUWMiS2W/IhReEkIrfQ6PGOaM3TwgvZp7AyKaCRV2UsvYvhpCN5HXdGIWMFzdUqHa68SeP
YAAfxqx1GzIwQA/ehWZ07GotSYqqtPuKRxtwIV5SDLp4+6DNVw3bJEIH2PZViHzbgcmEVmFKn9z2
1eTqF+8vHb33ctWiq3Hi31xXgtc06mmK+ViukiCXkmstCdNu4dlb5r2fDO7l+ohoYtm+XRNax1xw
bTaDxihe1dyjylj22ERuelgWLNY3Sgn5xiyUpZCM2G27WrfYYBQZVo0zIVxPUkc+0LCz57ObuDom
dqLabej2iGIaK+H3R3bOy5oLLGdxmLsfZZfOxsv1Wfr50kcHlkPk/rJ95snCUGQzbFg2+cYqZyWb
Z61drlp3ZLebFQNbRQzIqCDYY2r/i6nfHz+lXb7t5gCDg9vin1UV/zuYE+QgPuQf9PrEo+zp6rgg
AqRp+x8LS4+q7iAZDs27pKnz7wuichejo8FjlcLKIao6hl/QTrHJPXuimLAC1Nm0nrysG4lEsZYD
Ptzx0RyJuiX8FysBV5q9NqseKzpapULQ1wTsjv1+DbebDsaxjIb62WqDbV9gTl/P7CZvXdMLzyn1
4kvDXVsHhXnikVT4jpgaONOvnezbEDK+NT0NXMX7FHDljsmAtTaHyHnok659T2n1WWpx6LzkQT49
+a5BiWJhZGUeAB57FfEGXFxTGrw6Ymzt1QLRvV13o8ptYLXIJ9e8ZcNymALHO4zodN+bOsVaRLKk
b+P7GJE5WC3AhSgilp4xhJbbaBmm8jz8hH1TDTxgMd4xIKe9HIiQ3Bq0iCurCaEvFUrWsKwSe1/l
fsyagBMD52xdPuZDBYJpyHTIqpfFFqOCxdsZo5q/Sa+wT6HqkkM6+OJrDiX4xY9YE+7YdqSXhunN
N5sZxnPvOPOxLihYZziS6yoxPqjUUC+xJdsNntYOJ3ng40oS7PwYy+cXMZUj/24qd7Cx520Zmcs3
DEoQG2yG0mffAcGMmsubIQGDv3tlCNaeuxFwwxp0mDj2wJNvCogSG2ccVYSTg6k4SrCFbWjUoDBQ
xTfa+xi3sI85FmV5g9UZgjC4LYNkd8QioE8F2DHw7y0RUBl384dF2oBFzGBPwzntlsEeNm2T1Tcj
3mPw5314Xw6Ku8nMXCEx6v5RlHR/0Qj4tQvahXT6PrEvdVaa1ocQz8/LGOfqKR/lfewQPEVhHK1G
aFiPIdKWp9LrSDDCQu7fNbj8DuhB661JHuenyBqnswz95yWy3I+MLa19NTk4/tntVwHfD+Z/hwGB
AV98sAM1EPa+tu7bFrOriy7f2eZmbF7Gasn1wqEzH9qYYdiE8nWbp0qQ7cRui6awi+stwLTS3MRh
PH4O66nI10iYHSy5Rd8Xh7nJcyRJQuaIA5pqDXC7e7bKjOUskiy2/olt3vWp7FcFnpvj4Npc1YgU
Pk8c72fg0P1tZ5mfkV00N+SHzTS641QDcC7D7oJpNt0MrBWf5sCQ55lkuYdMuN33QU7q88zSvXmb
OjMfHhJykSL6jQVFRZ6V67pRn6x5CR/iWIQb+nqELljHLiR728RCUtJ4rjr1rW3cKdW529ayI50i
X3zLOzIzGg0RCJ3ZekiTbnj1EzcE4Be790EdOKxaxshbEaKFlRuIT33r0UzdmMzNyk3cm8aDzCpn
48l+3PJ2eatButOpbovyc9J3mJWrGpx/bZ4yU710HInbGDnBpk3NV2FFx3RM24sxO/LTOEKx4zs3
I5gIW7ElDyM+t5GM7my/YjzpqYPfj8R0e1bHkA6IBH6kepKXMe4kr1DvN2Np55uotnoIUrNx69KZ
700QL0y2qwN5gB/DVHqrKMcPqjDkAccmSdudSFMQ9cB1YOHKjicXcIEdhIuGXWA5cDnCd1piDGba
qu0HP5LuvY9B4alibspBj+Ob1xN362yZdlD5hptKEbVd99EH12zwpIJ32AgbmmNUzmAJu6J4StKK
NitFi4PdRSTkjuUpDnKTJV3fwdBZQbWEQzgpQmpsc3422WGe59Y2P4Kj5waFkfuGO9BA08/2c9MV
wYPdmcO+LnvUJ3g26jNkA9LdnIIZ84zxfNtXOsU8Hitx6mXakx/imhsVAizsUv9SZdH8wWxBOZMh
0r/EffwpDYtw7ZB9A7ZrGqIPA/QDaPtTx4nb2ieCGabDZEaQ64PY37m9y+fQgXN2VwX7BxjRXu+q
3ZzFDt+EossYGDvNTqL8r855HOCnRSOBV136L3XACx/qST3Bc/B2LTPsFEuUwC6ftsmmyYNs5Ye4
PSYlHuPQxYGj0lhuljlqz0yTpU3kztyf2U6Tc2FZE4AR7qfAXyb4yR73G2Joe/c79vNxS/yLsxzi
oMvfmTI0B61t2ua6tAKJwGZ1YH66SBxU67xIXbhHTb1NcTqt/d7vb8ZaQKae8249D82wydgTnWHA
DbdL69f2B8637AZLlA2WpAiYdKVdghgxYw/UF1PkPuZgKbG9YkhdDR0xLX45yi+ZsMxoR2ZHyRfI
pBbMkLHdRRyyJCRMF/LpW8JhGMCx8/bDh5Yy4MYiYYc772xHIAdZzmwWxDSrUAavUS+qxyUc03pV
RDHZDv18YRLj3DawvJlvNo2x6SunP9lV3p0n0cx7nLvTvXC69jkei1MzNufaX6ZNQ9bhXdFW7Tt8
XKa3XaNOYnDCvYr8Fwq1cee1ium8kg/pMJNt5wxZhn1wKqL8hAYX8UoSLAuLanRrpArkZUUCKYz+
x9426y9TVuSEIUICHABlI5jBZ8gbYgOGyHpySd9n6FH3BrFtZEctKtlGNWCDL9BCn+t+LjNvpVgw
h9ae3YhtHFk37ZvY9h4rkWPkzKf4XObQ+LEvmm/dqHNEHQq5xOdaIG8xCfmcUxJ4fbRa3iMjRMf8
mBT8SY2EP5fhPa45ZGTERCuILE49flxiqCXSVn7k3eO3au45/Y5dwQk6Hv7Uyd//EFT+2aXzi+z2
ByBa0rQjJTHp03/ZL2YUS6HbmtXBmbXzkfRlGtle5FTuf/9A+hf9Wc+JkBsDBkw2ZCksTd1fHojJ
qITExAORY+u80afi7e2ukig+BqTMCRM12oSJevTqL/23j+5jzQi0rl+rVX417dSYgMlXnKqDSmvr
2R2J4E2aZKaUwF9VTQaP6nYe9aAxakvm3z+4+EVxzJsMLsAysU0Izw7+8tqJRjDCKiTuC6EBv30Y
I4SEXtZYz2Xa0kFJ4fLiB1C6Z4CWlCumKnt6gDLy8kMk0cb9/RP6Ra/D87EddtN4LpH+SBQzP09D
omAEwhXRzHhKyeNoM35wkth6Xmav/Roo8Y+Oil+UyjygtNFbW/gHTEl9yHjoJ8l1PMzoy1uI9YUK
LtDFSF3nNH7LjA71mVX174QbS3kbDX6PNlaB5ppRVhtxccPmFRvu1cflNqVUd2h/xG1huAvbTaRR
L0PcBVsWWFT9cilDanWktV/NyLQDpjiyW54s10A+10xgwJK+p7cgAvatcoaxewJU5rS7pROQ5NYl
imD5eaGJhCVCCGaxjlAH0uBFNKAZx8Rz4dn165jP7VfuE+V3dIzlk02se0uSQMvfB/1eQ76T03SJ
aIiJHS6o11aeMMKHxWhxugYoCtu9rwXDM39R3cmqRgmqkINOQHP86vU6ACncRvzAwv9vvPkP402+
cz6Dxf8+3rypyu7tZxDl7z/z+3RTmPK3q1KOJgePIWL7/0w3EYFAlQz0ANMUJup4ruw/9HZ/EyMp
wbZLCCeIR7Cl/Uv9HV+ln++t2JTgw9v8h6+1ti/9Mt3U6d2EK8/xnVezWVjn1/A63AnO2mncbD54
MBTKHdb6GFlYYtc30TU5L4nir+01Ts+LUO6tgSI0RPUsDfmBVeu574uygm1RJr5cyaKeL1WTqfxj
spD5V7WL+TUFTh6sBOOVnppdeLPe8ZIamBhu9cHrOs86Aq4ehtPEjGS8UbVbbmOk0GyFrXzGzO1m
N1oyvabKJmVnNi5mP9dMqHT4oUjLxdo0s/o89AQkWlacH+Uwkc44p4Qocj/pnRVVidwFfhiT3DyW
TryWOpaR7no89nnvHQzVq+NQFZQoKimnh6Ex4Df1xLkQ9zjq3MfYyDuQC5w8PKt5ST9ODtsOuyfL
hwimSxwIJMDw2RUj1JHAzo6SJie7GpqUcmisSitaWXCT2vVCw7KIFZ8877K59ChLCKY6yXRp79ua
KKTzKDznnXdkPmdtkIbqeXHr5Qg/oKUR81QEhUv3iXAa3KneK7+O8601WeNNlUpgjwCz8hnZUblz
F78YBDFKcdyBrUpgnTcT1V899N556Sfc0stasJyn4R7jDPwWI8JIYdg+iiITwXDGJpsmLgJfFDP+
VTHveTWaSEe+DrYlHluoffd5ExjTV0QLdfpd57t/n2F1jfatVbZOAQKgCMWOfZa2NiCq9z4RPQdm
qymC4QJUPTshmOfW6KksjKHp9ekxkUFpb8l4eUA3oLamjkMK42y8a3VOkpkkKYGOU1ZtZh2oBNVE
nPw0q7YRk4rdkiQZI634jhne9Ni5vUw2IOysTRKomCjepotOvo/qgMqJd3ttpT7QZazd3Ta3Z+dY
TKYC/UVOVGXV+bvVNfAwg2uslNIJU901bIqpubJXZRuIU2t340ralJgw+1JxkGX/mbArJs9Q1Rzq
RZ1xVck6+gx2zTwzIip2xUQi1qCzsTwe7ibXeVkCIvNDyeyYjJqMpbnU6VrFNWgrs8zsbImoIa7O
ageW+G55HICp3yYEKLHv7XJ5wb2xnFgygydNzXlDBPMbzzHd+Tr8q8+jWzdGc7XppXuhxAOfogPE
WHkGOxAp9Go6XizTQWO98OoPuEpuoT86D/rKvgtFa24QPJVbTpwbcmjmFTtJIiPt2kEsWSMRknZt
fq/EbN5VOgyN2hg/fiNBODC/OrS5WyP7dKN9mg7ZHj9vuAqbuv1qjVm7Z+IdPEWSoEqWPdbFz7yX
hYy2Uoe10eC7FyZAzoX1N6KitB0/Ok0F3DrNJjDbiW29Fo4m/vfAXpjh5Kb96Fpa6AnI4bvh+XhC
O96NXabz5Xr6LMq/YK2SEKOv0c9NAFDblU81Wdfx2vKG6l36c/TspDIyV1WmnC+dDsErSRvld9TG
EeQHxAmwRUzph/w4mm51yibSH+CLMrsY8J/YOmwPBSsB0DDY/FXvov/vnEhwofddchZB3D93OseP
GNXsmRaTDjitHn1rvgQ6+s/RIYCGB2h25dtEA/q07QFD0xz2n84PDHI/OQxhVX5FuhdscpMB1qou
TNPdzpUk3p1EwtBNH7tC+UdNw95kXN1PwmCJwpyHMMNAxxqO5BtC84Q2NTHcXtGAwpPVYYjgPe3P
lQ5IJJ7P2EyjkOkGP7vzSuRasLF1xGKFLnCNWmb8mMVtuXLstNJ9IEKugaRGY2J9NFh2953gAGOd
Oc2yrfK4xV1k2Z8srFt3i45/HHQQ5KwjIYUOh7QIqDqHxmg+eWBas3XL7qnZVVUbgZEkc9KviYeT
8PAeU2lU9L06pTLGCrOSoou+ExViHsqh9F4hFS3GZuHS2i467TLu5gFcrc7BLHUipk8y6spj53dj
QVFd8420dzLSaQlNUJ/90YlPVaDqe7KPhk2HrZd3VkdzJjPDFmeImpRBPvGdJLPliDgEwZ7hxIiG
TAXruIBS7te4cb4VOhhUTFWASMeqbiadHWrYpIgC9Rkfcs/YknMY3LBtcEgPvAaQkiuR3TBUIu9U
h5RCKbWeUx1c6tVEmJqjIM3UcOPgUQYTSki/m47VFCYSRaYc10OcmHdqqLOPRVA1HyOdnVr2efhS
Ez947iEbM3YhbVUoOW9jswLCCvF4G87o701mGVCZeLUVsHrL7I4l+Yl0XF7/AdIZ9MZEksdlQCBe
4zWvUP7E5n3TepG9JVO2OpXXJNlCh8o6SCM1LVVY0JmkzfvYjZ/k5Dm05bG7nycdUZvqtFqhc2st
fj+RHzrWFqP/uHZ13O28gCU25cJB75foFldt1CY7l5nJxUvq+hkOJQNmg/VEtopCdFgb8gAvDNyZ
BF+jeK8V3/+K438qji2gGH9XHN9++6Le2uyn3b/144f+cKM4v8Ftx2qCFdX9Hcz3u3j6WjhjVseN
YrP5B773n+LYJmMdn6+PNkD73v+M7DP/zarf+hU7x24fLruQADIpyh2e2C+9pt0bKKzi4cJgMkCk
v6AB1tp9WzbpXF7AZ8m5Lo7QE+Jv3ACRaWVaseVo7VarVVx54SPoKnn6NzAv3TtLofeartKvTqvA
rKsgzLKVscMP2X+SWi+mrtKxQavIgs5Pbi2tLMuuIjO8m9a2xp6/dmbHvu20Gg1LXLMzB79A7maW
951WrQVXAZvex7xgrRhPmgLTrxiIlJ/MZgShZsY6NNCvgkcA8sWjsroXV+vkiBNCMae1c27jLI9I
8tSjZiLtoGkjUgu7aWuMNnjVmqqQjXe2HnRMg7wmNhDpkT/3OsbB8wh0gGRMtoPUMQ8Np/g9cIb4
Ixks/cyOj0AIOyIaIog9qr9rXMTkpoQjs/laGWY5XRTW04tPwgRp5yynKUDJnZBUlGukEMtzqWMp
TPIpsmlS/4+9M9mSGsm67qt8L6BaMvWausub8OiIhoBgohUQoF4yydQ//b/NyawEioLKf5yDzFVZ
EOGNJDO7956zD+NzHVph6viKNquRpdeSUAvQfRwBWq7h21KHXgTTmAKtJgijq7QdMeXMH5UjQRlY
8gKQCZhN3lg6SMMgUWMq8pyx4VxEq47bUMAzjubUcJxI6+Gq1rEc6Tmho9dhHayMw75AA7vtUSkS
oTir46LjPfzWnK5YEJcj9in7JXeIAclD0T94gc4Gwa1e7GpL9sWmS63gotIxIisyiH0rqPoh+dR3
Rm/aD70OHqElVH5ZLGU+WjqWBAp3TbPTNW7szIeuhNCQ7wolKtEkIUsu4SZ2R6CK0IEnNWv1DlYt
PnIdh2IwQUJArNSt6AmTzWdiU8JzgkrOjcOsVwer2OeMlbYTqDSMc/bKrGNYHB3IUiudzeLpmJZF
B7ZUZjPuA1qozI2dl9Eag8sz0gYom7xxOmZsg45/MSyCYFIdCTOf02FGHRQjV4yeZUJ4DFto+TnX
gTKmxA+c6ZCZws2l3OQ6eibAK1CR20S3ZdOe02ng6gyXIHV91i/CazLqyg1wtzzSrsT3majMd92c
z1cEhZi7FI3IdeZLZN+NbMe7zkjW5xYEursxSjmT0Zslj6FTuLdB6yCIkIwERx+huKl6RMDUhoVr
98TUjGvBEUnQ/HabVsdgQc6LPNX7aGCm2sBwEHjxhZ3nuJtC0V24RF+Wm6AVIMU5AVDlMhGrnlhG
JOeacj3WSWvuUDW7dO8JE/dTUU8HEsWQy6Fp3jHvpa2dVMltlzpW5LWe/aFEPo7v2ujmd4r8AdKi
gmF5QCFoJ1vUJMZuzUV65HxZEeCAsI8oGX+Kt6PRuuO+lpzC8xg2y9agxVzdGIWmZAsCJza+1xDI
4LRtzEqSyZUEsOYVFLKpz6jVfG2vPjzsrHCzIsqX0XhKRsVMPofPE9MySGa4GSJvyKKsW/IIEBBW
GxnI+Q5WvXjXKRLbtsy8OtkSP9zgRrkmhiMABb+xk2qAE8bJJKnCbTItHk6M2RyU+RAzRV28t4lf
yf6+1yaPY6NROTWRuZYy1m0f5BVh5w6SjOmhy+ck+OQk1IuAev3SnNy3FcbT1t8FEobP3iAHKn9d
aHOI4hBwiTo2Ljo//5wDfncOsGkJ//ocML68fn8K+Pojf/bIBD0ymNY2vW6UU4A1/uqRWfhB/2yK
Wez7WolHneYybtfW1T8lfy5/5HoBNyRttPOR4O+YUi2act8OHOiI4QH0LEhFIFNAmuom+DeYD6a1
81h30r72Y+U/LZPjUi0JA83yWpograu2jWbZnDzw8oJcvHbcmWuidsASysNgqfYKMvlgvYewWtw0
OEWwVMxU9lvmMSwbA4dsjBbO+L4vqi7qk4X1RC4W6/EYsB3KPu8jUmDr8TBMi2AQpZrneozH25U5
4IxzoJ6GTbF2PnSIuJv2WeUUNORzVAVdMYLVRrx/8MAlEO6asqFtkwTfeWQs9vzGWRbf26dzMCVH
4mLWIQKWaX7EFKqWTbkUxWsLVeE2S9yx2kzwP2/jmDprAwGSz07a8UK0Cah+/6JZOofWihhoOPGs
8qe2cqV1QgS5vGlTt10u4IqSNFZVy2ycAt4gvI94JW+AB7my76xANnehkyf3Kz7P2xZxJRKaso8g
p3C4j1WDr2vq/GMVlnWLzKxZSSxk33rD6QaUvuF04O+u7cJ620vZ+yuRk7HZ9O0xFm42HKrYSmz/
ELDcJXu/Az1lRtBAO0j4RR3MNzYAx1psKQENtITnpFmZtMTO5h4qspo8maA0ShZbWTrgH8eCyVxH
L5VkCTcjNeamaBFDAMYssy7cyCbpqj3LXpBsBhv7WsIINc1j+iSLsacqF2raugqmGF/mMPrIKTi/
kFfRmp7fHE01ifjS6tIyjlpHjfrG8dfjOsOP2BPVM0GwrLypHE99zyTCvBFLlfd2t+mUGicW3GIi
Ylq8T2hoWuszi+tSd689IVxVtXHBnZbx3T8L3v+SUoWeToO9/vtU4Obz9H/Xn+fsU/OdafTrj/25
6Jm6jNHCZ/zvtPG/XfRM2v9ImE2OpF9R5v9eA22fH0LPFgaMGdAk6wrlzzVQ/MvmZEG5hNbMtJiU
/p1ayNWlzjczVxOTv8Mm7KKypo3LgPf7JbCla7xOSZ1fddaQLS8OXUuYSo7fO9iPQ6OmczF1U74c
M/T7lXHRWKl0uy1iOALZpsw8YBRYXjsb78rWMKW7nTk4rJdz7fmfUW76EQc4r1vbY90n8HHwHZTT
4jwYHCdJsdC5MhaNwNKvOd2ZS8Khb8c9nKfhrZkZvX83ojMU9k56fSeXB7vu4n7rTWNvPsOjKDMy
LcAXA/VIG5Mo8wyz1XYOfLxDI31BALXJ6hZzeoX/oZXBQ0okdzORpgq40dqJitFft8lrxBaPKuCJ
3wUc40tG763fr8OhlmNgVVtlVrV5mcH5wV9mtp/I3uz2fiuXN65V1pjMlinnR73FWD9IUmSz638e
wP/lAUTxr+dU//0BfJepTxB5s+/iAv74qT+ev8D7V2DiOYAe6QZM+b55/kLrXwGlGWgsx4Z4+l2e
Ms8fCgT4GPyJpR/Afz9/DvkD9CkQ/iNUYF7/99zb34/ZoQjyoADmYurNb6NM/OEEguGB0Yubepdn
kE1XCQg8AlYb1icE12ci+zdf0E/EHD97Qd/yTLZ8l2PYGaf3zZEHapQlsQe6lzQkg0iMUO/WEEg+
Kag6mFf9MVL+rwDP78f6Xz+g73h8X/Br8X38sL7QXVgVM1NmV03qvQAAJCAkz8Wj0oEIv/5o38tH
zi/FpeZaMy81ERHope6bj9YBYkuGQjiXOHuhBPl5d3T7FTGFh3z9pl/X8MkvCCjpNH781y/9k0/J
nQRxJQgY/vpnhOM3Lw3FbVwglTiXCq7TRR0gzKIxWQdRNSbM/H/9YkJ8t2afPyh3oACsSeS3TvX+
/oPOePYqAracy6mBI8MpsEPhPuUm4pyx95FzMzuR6amaZxTqS5eO6r0j6L5Hc5kZW9Oqw98wOP/z
48P9DoC6BAIzDvqd798Q1Sh+2IQM72By+LhnNTlosezw//laVAUu2x/7pv/jhpXktlmmpM1d2hyk
bgYIl69+X833Q27J519/0fp7/Gtv1N8zE3tG5S79SZdYyB8kKVkvO6bUg3NJH/CLOqvTrcr4zdX8
2XfHIiTOL8Yq9cPFNEd0oL1VOpdrgUo/D0ZkPgHBgluxFsj4f/2JhH7cfvxINjpsC5kKX+GPpNuA
vsC4gp6/zImFhTQ28poiNtiXz5L6oC3cF0dDi8+AzIXR8UUykt/4m7fxn3cwpx6WPS1tQPb04w0T
W0jKYq9wLuegt042UeOM0+IwuJKG4g5tQ5RfRWEhuVrWAYzf+eHFCpEd/geE6M+ugK5KSa7mStOK
/v7uLUosjlUheXgxZd2bpsmgVYMSHYyFu19/8J+9FAohKldEwLb14x01S3KmO7+1LzPgBfdfkwSo
PFjqA+3R+PWLfb/Us3wzNEFSh0dca1X+4/aVad8QSygBC4DtWzfQUeVzbZegKM/OjFr7V379iuL7
JVi/JLQT3VRHxscF/rGglsXqWBTd4cnUiGOKK8wRqlM4Qidwe8x9ua62u5LJEuSEICQ0l6oZJrZv
aAAdcm9S8DSq9LyCkEKONGBZCbVAAWBgb8pE87svifP2d48EdGQPIDaWPw/Jmw0Y44fLT4GYO3Nl
OxBZzWpvrum6bzLP2DOuLQaAhRS1ybZEnd9goMjl4u0Ev+yuQ4h5tlXwHlEns/bGLokMq131rzNO
Z0gS6cpzZRHaQ6B3l4tx44oJ5Z5IaKO2aUDAjKYHA2jtXzsTZqbPGLdDv23BsbNIe+lHv7lE403K
as4XeAaOvEmgE3U7jxrhCUIggTlpGLfiKIiYxljrk6wWVWHqMVtmyA3jH+ODd6Cs5jU0ffwcJNu2
tFjouTuEl5PximEtbbhDpCPk80L01now4jX0TpOOR1FMI7po6QSwvoLUrdciB6Pry9qSp0pogSSz
hTdgWUDUrWgysg9iCblkBE142rkbMJc4c+TrvvBeiszibj9z/BZc0K/qLHf0xtF9oeNgfZJrbB3x
77X3nddX+CowlvhZ4hCOq0Ii06fQZYcRaFweGaTykM5YqJy4gBwzO3yjcRY/LQ6u7Ni21Wunesb8
DdE3Pe4wnSsT++hWkvXJGl31KkOH60S1jVOOYcNrUSUWQGwbteCqoGRsg6ULnwa58LeMeCE15hy+
VOWLeDxH+DiDiSD0vMvV7NR7SWoDYJgq7XItyuxLrA0+dzZcMSAuVY0N/pTqg4mR+wT5IIO5MnML
piRxuTPeEEOntxBOdwN+irsGvT2JPF7Bt7nkOZILPKlgF0Yz9r2T1OslOTKY9pQzAjJGBsSbsV2/
qHZdz77oNSiXuIMTsnPO9OHUqOAiLm6FoS1uAgCI+HjYb/oixkgqapt7ecyN8ElhqkCC2A/Qsw2a
SVLo5CPUWrjkljPxsa9dnIvSTlZ89yUjdJGBuCS21n3xUtJqUabqOAYQjN1DYq/WcaXM9CML8uOH
ehzrx2DNlmtSgMuoVXMjNnT1RbAXsGlOGbII7CTafahKwjTIgGyGyFSx91iWazYxqQ5o0fgMmeGY
BeZl5aTk1ldFGBKPq8A1uIaD02BdHosQx/vQkOGH62MBEcM9ScSjqeq7XqoA30M8VJ8bt+u/BA6I
URj0w014zsnA9UIPjv6TnLZE2lS7yZTI4XsdsuGRF6v2yl28T/Pqi0jpiI4GBlyyR2PsT1BkAJLQ
KifNA0baTZiPguTnVaUfEhuli9/Qz1o8JuEt4RiXYun99hCoyXuWWdXvGR6sH7xkak62U+GPgUaz
fkA/Tu48+TioXkcuYxC7xI0WU/0BVYHfR/WoYZ9m5x/0YRSpydxqkE9XGbuWM6AutdEeBVhWWJgI
Q2nM+H4olHFRF628yOEc7xd3WD7HSTPtUiMz7vAOVu+zYnS29Jh6ZPEZLcFWoVQouhc6BDwfGSqL
2KrS7TB2Yl8Ry5J3gXHjYLpk+bfjBntWZ6ci8nzCQvCltCgeCbjE0p00+srL6YqTbnCkGUP4C8B6
5FTnSBhHp8NgakkvAp0YU+rsmFWnyFg6T0biL5bbsVb7wQUEAB39U+mr5n1YZsQYhWLeKyO2I4gC
5iGM++qOXYluACxXegEOUiqZmFxRP7HyK+KTQIH0gyS7suemNmAc9y9nJr9h5TwSSgcW7RrZW/ml
d06mwAeNH5XVtn9NOhoPxN1gDF4gxYIf6ccQ89+AGzYYZtfcaQAhHAP0K+Om8mPc25ZrNM+xcJDP
za2x9RcU5r0K2Y+DwY0x81oOlu8zZZVJqFSHIutZgliNdbxiw2o7U0cplXOE88ZVPI7S4dEf6MUe
nRkoyNEVhXyWktt22yBqUrRd6hJ+RZtwnkuhLAq7QZK4YeRMfKKbp4H8ssjR2SgallhQ8C7v6tyZ
PlfB1NLgLAz3XejF4QWSMQiH+ORTElCSbNAQ3/SjGvuXXLr2znWyhI4u3jb1vlyJSn0gDLuxj/Av
gpsR5ODWK7Nil05Te8wRaO+XoJZvV6ArPrAxZ3o7ul117yXyi1Wu72fLEbdFD/GLdVWHMoQEiTqD
tF5RiSSvqP2mh2TwuXI88fmuBb4fbpyESPQNQpgCGE+p/BPpqapBxFRKWjnovEE/DfD3jn04m5dO
2yzXRGchGyOYFmYJc2yx8bgKOeqmIHzCczyTVy768nruOucWa3J5y7hvuK+yoAV+JdQnZzTKXdOv
9scm9EaiDuRqbdzYyrwNbSVye1HabaYB8BqavpLlIoxdcnQD57RM48dYGtPD1CcoHoeByGBa8h+K
yUPd2OFNYq/ElbVpGWnfhM6SgWdxbVCKU+ht0jFRL1Y2yUtU5+Q54Ei5BElnkEvTq6o7CJY8HKNM
ayPivSwIPnDF5n1a1vajV0isirW9Psgsja/MZVjvehRBmxCmzvNQMvbemUo52QnA6+xugwZ4Oc6n
KShuvNmc5AEVmzpS5RpXOV21t8DIrHBrFDh4N7A0zeI4cPPc0KuWX8TYqutByvGAYXu5xNJQAZAi
SU8xVaG8ANPcHqDACIK1OFkY22T0x7uEYDt0lnnsSu7Lsnsu5h6y21K6KP8sllEbinm/beVYT5FV
dcRO4eqxrnsf6dBmYWYTAIryHRZEMX1uLG+I9yEk6X0iE+fCcVprZ5ceduXBz+5hALdvB7GopwDv
9Y7wq4I554z/yffQNpsYGklyz/3IlpOfYQyEdWNWPftQby7jlpzyrIwcvqo340qdwujX77Acxtkt
JMD5rdlNxrWb9XaCurq19wFjeixTsnb3KKjcadvAUFaHgXv3S1ym8zsZ2P0n8gX918nrvWxvSm8g
4boULsFLTYlmIoYA/oVY8BZ6BNFow9Hv5Rc3nZM3Kq9sdrlM9Seta2wI7iKpOJ0z+FRI9vDWsjvf
GgS87izTQ68cJpzZE+LViKACF0E6Kq6I4LIYEH0Zjj++T72lgWiQrPktrmzf3MQMom/rsCz7TY1x
+C41bK4atgfhHCsUd/MAArSdY+drBfvP9PW301dP94H+ey/0hrTw9P+2L11TZj84FWhc86N/NETh
sDgueF0CN10fVZOu0f7QYgV4DmhCIuUTDpMvuqJ/DSQ8eMK6G0ofxLb4MX7qz4GE/S/+KumqFqap
r9aHvzGUpbPyQz3GZNhiHss0Fh+Yaft6aPtNL40jZlvBL8qP+K85m4qwSCGGK/TPkTV24bzrR8ky
BRcmJZjOWniUa1paBHCuEA+31uRpCe5KSb9r3CZp0fw0Yuo2rBKVye1NWVBlbnCFAMy5kEiubxq3
dC56Z2DzXnTdVUqKMcixnImnnMkgm+eMFJYM8yuWLEa02CufpbniGBrxhEraBSK4EqnlvNSddh6F
lUF0eZ143mZomH4erJLCbKcKbTL6ynIvEOO8sdqe8gKpBjhaqaENvaIqPEM8SICf7ztdCsaFxvbb
cvYhrOPwbk4cV5vg5IU4sRT9yMcScgFlZcq6KepzOCGkmDdLqdH/xRDyMb4WOpaVUG5i+XrUM6EX
X/Pem8YYjvaY2m/PXYHaxnWkbJMTg1dxxviaOSt9Ug3zcwAk2CdORH6YK5TbCOVf807zLL6GGiJT
fbZjfc6Z7Y6/hi2NvInGdV+WhJ/bDAlv4GsRPJXQIUybkFPCmBsG2hAeQK+EM5/a0dEZQYGPqsxN
PntYuqA1hsm08VFnFcmOfnpjF5AcA9j0m27K5us8zsYLuwlhR2WYDv6Iavt6WqtIdfQi7mu+4a8X
FO8ilTasu/DJGvQVHhd64FxSpd6z0mHqmGRM32mG019ReZRFdmdUFh+hWXJ+ixw5IG8CRTmyBU9P
8Q/ikff4lZLPgMtw0a4T7XpgLAvgTBZVilzJU6Dey2o1Ggx+6xe6plw3c6zDp6Wc7vtVuRz9KRUh
4FDGrpbK73wmz87mfEyUosIN6HADzimtz8atuNGL2WFXW2TCb6J05t9+itqNdwLyAnkZrRZaBxzZ
+5G7weow0G5Cuwdgcc6IDRyBz5AIQY6zAB25+QyLwjMeGfNtyAroX6E2QQM0dWBtOrW6ZOTYpFML
IIf/ARIpclkDcchDkCkFWwIgQG5RxNC609xAKHOOPoqkCwNONWwPKATzPlsHqtoKLuu9bSYYSuup
4o6JxUCiwqy5rfWqySSjvk8WJA7Pg75EbIr2ReXi0AsE7IAtYmVCw108SLAE4ViMY7g7tzHw+MZP
51s4M4hHXXRztdEPu9ZSP8ce8b7QU/hKztkr5/SaarXoJ6RIBveWB1OJFgtfnKbiU+iWATfM4JNQ
WsJG4w7Qj8RQyuwAKZUvb0lhFDHhxwsosvb5nPbSuhLrIm508egA8XwycnM0NhKDfkMdlVS0aCgH
Nh4g8N1qgeEoU3eik59VfByTjIavSbta58jzYJrcYIbNQ64K7KG7WPN8RosM+691B9MqWkgQisBL
lOHV2mrDaH9OfsM/SHunNAiS2g6+Su03+TkFxOiw8Ox6snEjkwCbI8kIJsE0OV7PdjYiGy9Ct5kb
3Ye2Z3Sb+1UtQ7qDfs4TZnU4RzarzYpVWVgy7hequesz9SZbwMnYnCbui5DlmWIdCFMlSn7PmckD
M5Dwwp4cVNOM6c24cuAbxBN5L6mHANumRftc0IM4hkIlB7Cl1uM5E9VjehwDHc279UExW3OO88AS
aa984LnQfRIj1D200jLEY2yuGECTxqd4s7F0MxGJiZjPTbA3g6PbUONEJk+Z6ZikjFC2nSBFy8bX
6XCDQ2TnsnYKJ7IJ54/015qeU0s3+jF3lwmPTVcB4UEcyf0iFC2jc3LhFI40/Srtzcw0LKqqBO8n
r6RGAob6zvEF5ROWr45fbyWxegVBQxxc6nJ3h7wEk0Lqx8wVOR3ooTviyEEIfL7nHQt1/pZSlXdp
Ud3bXE2PIUhGxcl8nyQ50IW8xAiMqcfIxuh7b2aK9e3cCCtTW9+PoW78ylbXNraOfvu6pOWKDk5E
5hGbkRsH3XCRBwoyIdKXqUObbIg3jsfTVZZFmG+Hia8XW/v+/MRVY+A8TVBcxHZu3S7dn1dWIhax
rU5p0D6JzK7rpykhPvWdi7o42wKN542e54+Opk+FOpQxH9rqTqSDBausfoWUS70ppd4MWlNvznHC
ChyWKyFnq8tChnSRJzhomLdt5jStRQqdMV2OLD92NUUiGThC4BivG0E89hpeVrUC7WL58QwsQ2Vh
ebfmqFLNrPQDWgxG8sRWSk5P71Zcolq3zYthZq3lmeyilCWmIdPJQjWMicN7berqqUlEd0KtNTA2
WDAgcA6xu0dGyxdNqDcipeFvCG/lJXtM8AZlqRnz7IKJ61qbuk6I/sY1dZ+VEdp21GC5zG9hzIGL
+9D21s6gakdCBIiu6/2t6ec8A5vhq9G/x/Ov0kFe+nnYVbHODm+2YKTfwQjew7kCbkb3+42kfZpD
E4jPXIHFK6XBPgG2Ob7AZFexqmJHtB3PA9yAni2SJgBZy7PWeusrjEsbr3XyLfzq6iiAP6bUkTLY
Gk4BEqS2xnBDftHeHObpRCehKLbIURcatrVMl/3iLaV/DLktu22iBgS6lp+GlyQ6rLfB3PsnlYds
c9mMsHw2IM9Vk3jriLG5NjCk3GZrEZx8Kw6iUhCj7aUBVr+A8ebGlDOJcoU/XHbziLCW1Hp7owx3
fimdJn8LU+YtGSxteQXWzLlri7SGu6QmmF2o6/YBDKEvaunCj2lAm1ZNtCxXbrJd6/pZFHQLuBAQ
vMiWIWssc1/tKoSumEcdROgI9fLroEvz5Zrvy3slDaberwON7qXMTKLlp7dhmMt9kcFP9+PpA4Ml
zU3wPybtvEBCWepIlEho7QKaktW73Z2CL8Txp/Z27lzNn/KB5HVgy7i1lLoOsnS9q1byHhp/qPZ0
wZxDHI5g4cLM2SWtemzDAYJT53Ey2qmqba7J0GGJIphq606whBLODaeh6sTJAjJ4dMNGXRTh4Fw1
9moiFKbFMRat+zADQdzMbRvsjJB+Wc6KRW5EVbzBGUF0c3Ay1kLcsgmAa3XGek+MkndRdvZylzT2
1q7t+mihjjkg2eXMSkcpmpNwOLoFF4wUUuNZIZKOciZrGAldGF2VFdE7Ne+LTpNfYJm8pY1tXJHD
gK/KCHx+DmCH97Efy5BzCZK3Uz/X7QE+UPM+5/iuaXaA6bm/reLR6uLg6E+2cWN6rUlgkvCjInD2
g+9Cx22KCr+e778YRfV+NtqC/pdf6vh6mrkGbLqGdv2EfW7th4MZF+nWDQq4VmWWRKtbshElaX8x
1u6rTBNnZ/X0dIU0S71aiYsFw+VL3Jkg8hFSzu+J+SZl1ug4CWZmHS2FWez61vEe45YVhZW/q3ZZ
Q2vHyCwfWSBG4yotl4ikjIWLVorpCu+Jj9fXHgiMZiHBe9BGvWvej1NRil3ilh1ob79FO3ifxQLt
ucgrbQFe1Zi8svgnewhHbbQGQmKDHWuwP2mM4qnB+XHovdRgYeoy7xgUw/RkFMoK2PZiywO0KtKo
Q48N2qbdIeBqiE/guciwuz5J1K8XqwcfPuyWYg/MfN0Nqcl/5j7+LASib6dkDrjFSdZyjFNGb47A
DRpDwHhRiSRXDD5u0rFX7wyQ3ZeYFK+9AjwVm1f8UA2W+T6clNdtyA6NsaS07ZK9U54czIuq8ML+
ZLRitYYjq1aIf8Ue2gmJusHJKaFwQ4fZhxOnWc08nN2sCZ7jlnb9Mc7zSdLOmBYzhL+Nv9A++ND/
VnfL+N0wN4kyzCnZ4rYY7GeMo+y6pJ8vHl3uwEZYOsVuBTK94/8vGlq9kXkepIy0vbqdO3AGpc3H
AbyeFAcRj1gncj9aWS4nU6wzkDGAkZxFy23VThzLQ4Pz2TcV/0/EPZqh+s14H3uVYIDNP9hF0FAL
X//5N7XzGCYZfZigPNbxiG86XGZ6RgwDJdudGwJPR+qGjXdW7QtS4uW+7akyWzLJHzOwKvcV6tvf
vCNdrf8lONDvCJe9VsHajm8LFtDv35HhAqceWPGhqhA7tvEMEtR6mglPiuJcbQLC7LDtWoSTOoBR
LuTIybCe6H0fBI2+bKuU1KdnjqS/fmP2z96YBiygMaMlenaXfftV+SPTnKpr06P08H1ySODUPDAg
nDp/Zj+zVf2Atz5wLpaGA0c0I38sTkxMx/vBGUNF75WpIaZI6hznfKIRPQXIGUKSOCsHr/N0u4wb
ffrSVXodmkxtjCqmzi38bh6uF1o6r1/LiayakLCcZ5T1ImfAUpojOOaMyvUO/JLpZE3mRwETVchn
nF1//XX8MLjnMjkuLSGL1gvqkP9Q8AxAKLF0Z/kxbkLeZdU09vxuddYB6dCyAkl1qpBzbFO7RD5v
JohFvxFv/eTWZR4k9BvRgSlo776/UabUE81q9cnRnUOU1XGtEtCuoYitG4FaNKFMieUBkmYKb07G
a40mVMU3Sd2Lx8AcxI3TYBT/zQP1k68F1RqZKhR8TH1+fJ5qe4ibFCv4kWAjyruZc+NuzhqqmZG2
CsB4izPzUJEiGBlj8jv90Y/Jv/rL4OU9/Q/FG46J77+TevGLoR4Rw7sLIc7HXLSL5KxCdkvOBUkX
F3C4PQX2Y+HHxoXQhVvtEGd0OTqttG4R8owF0Y3Eu6XHXvdeZIvU94seZ91PNWaq33xd1g9RNPpp
99FkIUsDGuSFP6KiUmFATBp942CnLmug1ayIBoJBlzr1zDNwnngvVjAaD7W1ao5xlXJzL9mwPsyh
xzOX2OQ9bN0VyhUsX/4njxz/hhzLEPvcHkLAqJeMLqdLM0wDgZpNQgdsm/lyTHbJiKRiXSpe3bXw
BmKlW0bWGQqC1/Mj808n+vedaP1w/q4THb0UTf/yvTAeR8+/+9AhHWWaz3rlRZKARAmbz7eeYJBT
ofmXZvdPc9CZmINUxyFZyXRJlPt3H9px/0XiOA1jfowVhOfl7wjjHZ/X/2bnQv1HqrSPjoZwJVKA
z1aAbzcIJwxQc8y+dbXiaE7WQ6aSpY+hwpibalHXRu/QaqqwsWzGwM3bDU3y9ZnumQf9MRNHNUrj
CmvLsFtao9onC5BOn+jg6yapj2lnDyf0FxCFUZ9dNkNtPBBSKnXT2Ljss0ATXirvYaTmeJsHBMXQ
SM6Ng5Bts6kUZAwP+gol3Cr2Fi3ZmqldDAG3xafH+8bk7yZH5s7Xnl11JyskzCZt47tpbW9nZqF6
p9a4HnFslbSRGwYFGa7eSThxRE8yjNKkfR1o1EYD829wzl2+7ex6uY67hEClHnvNaCKDB3jOhNXY
cbQSe7pQ6wHTJAegxDpgCKrfhcuY75QssmgtnV05d7ddwWyNPb9/wZpML9SvaEW4RKPYlcfrVyAy
+KYcaoIgPC5wv+99ot6iSoiVJirzxalZNFZDjkcoLLfdEprbVhXrDsOg2HAGYzc2pQ3awLXp7zIj
nDAewnIv1Ylq7DoVnP04l96HZjXtelKpwmo4QtMpNnFpgfcJSUmF52JGVmyym+di66bLk9uPC9pa
/SFk0Uc99IyoXAYmtK7h7cpg+FgpuBjzXJ0k09pLhCLL1oasc0b2ZqXcu+jaIqjoxibjCLdpXe8Y
xuGpX0iOCgpLbrI1Np4WmwYDJaUL7gL4hz3M895yGGobI0F9FnvRI1k52LlFMEbEUhBcMguXLCaD
umE2nahGtr5xg+QwD0wtW3pJu1DkH+SMvLE1gIHUMXmnrt1GgwItaFPUpPbA7L2lbCmxlhZ5+9go
7ymY16vcmkCUgkfZGzVlrUA8cfBl9bKSYZ63vXPIIdbR+Z7qnRnmxqm1ws8OXdsIBQTzbVTeJbAK
DwEBqQ7JHVFHzX5IkGtQ/JTbIkHPFAjEYAjvNqJ3L1orFx8WZxVb1DWXs1F8XBdn3s2IE3Z5hgfF
rWmarmsdYOrlXsAQ3kZ+IomSXUG+OOkyb+letlEhuveG6iuQmHMcgbUYt4p04oMIuIINStC9hz1s
H9v5287ykuvaTKu9HXxMQmWSZI7kzJWe8YjQCWz+4EH39Mssu69GMMi18kzaDulyIC2se8TRjoze
D4v71Q+cSKn1WhG/sYdJNO0ghHj7lcInchkC74iKTDa9ZZjkU3XE+2E13rHbIZ5xCytCa5tvGj/3
LgRl7DZLgvHIxOaid0cg+4Y5RAZN+beEBfMtIuSNLNobWw9SH6jlMxG34bjs5uZbUs1MdErkYmo2
+B6WsL8NB7hTIFXqh8Kwlzcx1dRJ0A5xN5yQU+YXRpHuPBlMEb0OAjXBjO/sRRV73upwhT7T5i8a
VzWJw4em8G5o/nzMRg+IR001OLa4lAe29chf+T4lk4yjT7ojs27zC7Q6ZGRT45405mCTe/2DGWQX
nGy8U0C2zMbp3HsvzlsUVuQFpCSjbdap9CIHBR36yfAT3J77jJEW04E35YAUycwzcVgy43PlrMu+
7KAN9T4ZDfx95deHyVt0f6Ku935idNuqI/toiTkGpOSWb4STvbRNMm2SgC5yY81HH+EIUHVsQ1Mw
9FthBsvOyhrUU3XLLZV43fVi+fuhsl7C1kafneU2cS7KfYitNCFpEm75YmxMHjUAN+3nUdGi81dC
fNwutw9mCaQqDkpopKU17oqFQcfSF7gYwyo4poCam9L64HnqKk+c/EK581MwKYA80LeQXtnexWBm
9WMYju9KbKARsNXPxDtBe4mzfjsl5aMlhkvf6bsbGVinrOlwAjZNyVwHaLDZvSnTuI5iG/5s3LZf
um74f+ydyZLdyLVsvwhl6JspDk6bfc/kBMamiD7QBwLx9XchWXyvSvdKVjXXRDKTKclk5kFgh2/3
5SZALJdLsJ7bo+sCHIC5jH9mmeprNlHDEcxzCNIHClFdApl08s/RGkbPq7ueAKdaV9ov54O01/5A
rSsaT8jfKLR+Riwu7kcALaXFS0hRsUlcEdwc1dv1YZg9LzYb72nbhiX+1BdXaz+eKeUGbCkdI84Q
tmMcpkCvm95/ryv1aUlnfA1r8L2dbdZrWZ0fZntajkooHLoiRVxpZHQ31fLezPAt9HBM+caXm64f
091E+eauoSqw1C2h3eKgetyDHGj12cqNtznqyrgHX+YUHf3PMLHPodS0KBfFAPog9U+cv8UlRwE/
Ztho9vS8ebuZHrkYCBQMO+14B9xGzgHwEa5Dt7OOWVC+LbLwztoIn9dpvBorOLforT8cowsuuLDS
TWqi3qDzrQNN9eHegrZ/CTvWaS3MfwBebXqAk94mS7iCZvhaMxdPLy60r5E8W2j0kTgpdnpuB6YH
1sfyOnHbDzaeDoXxddzz6WvCu9QbooUlXs6mg4esLRuskaeeDiNJY3tHZ/aLM3MLgHuywtsnj++N
Lad3RYFGt2D1E3bqPWJARP55bzFBaXEZCAwEEf6TkKAezhzyJHmNi2XQw/Df0Nvfqn7eruDc8/79
eH2XF3/Nm/78gl95N/M3j1ujyXQceBuHEufH/7d3kM+xkIeIMnK13KJwv8Zq6zcMFzY3TQI8/NeG
r/xl7wh/2zg53Ogg8vLlREb+gb3D+ld3B70zVkhEi/6d0GIL8i/XfOoS8B8KDw63Mrs0oUe5eszr
Lr2A6ZE7KGXjW+SU+sAEpQ/WotJLWE/dOy9m9UKgimIWvxzfgNGNb5kiw/mnn+T/IaD9632f7w7D
E/tifLSEGP5VrYrmcKDsPnLPpXTbL16OQxPIlbgWnkK86slaH6POZJro2uoPZ9O/TcohcvzlxkEt
0gbn5N7MrSgI/Q/7zZ9vHAS6cZ7MRU9xYPqp6VPWe8tcRDdVNLR+4ndecE0iUfj8mPzgSrlR8WJh
v/istNDfg3lkU9Hp1blkNYyCyp/r41QPc7Uf+tZ/CJii1p1CCT+nSzNdW53THZiV3VhjnCPq33BO
u3Js7nJ7NaGTWBwTZoj4SrVLECTzrGGDhHNu9LEz+czUpW+/AxirAIGWuM3GkBzH6NKEhpD2mItR
sKhwBTvryQmrA2C1KN9Fac7urHA3ePxggLsOnmelh5qlTM87OPA7cTu4qCxGvgm6Q+vI04pmtqug
1MQlwjyJ32CRPcQvho8uFzk1kGr9JMqtg96AyXjtLSVD37BOb0QPAopFTZoUYtPKlQTDFiJ3O9V6
oAHCP6rILthj2XRlEiLtH7ctyoM5FoWVlOT13+vW9BG9AhO7NdvI/TKD3TlIR1FaUvAoPaqUViVg
hr1fk0TOp2cLs/leTMEyn6MwqrMEb9L0qIqZMc9yFsiHhW+ZB7bCaRjTtYDLJfZ81qt77pjOlVCD
yWCSFTZF6IjjMZtul19rabgn5kDbiGsXZXzxvE9BuYZU4PnivhIDfuesB8RIlpRXyzDx1s5MZR3M
shwOw7R42IFs46jtMPve57Y8VGYBhUrKhCc1OgPHaB61vUoHv8NcXnQZUtfjTcGXHFPhSTem3kd1
N53Wgj7VA47cjIBHCbdlxytfMchzeyUvUFrQ+0J1iUIrfaUZF5F+yXkJ1YGX/+4upryzWkt5cSFo
fEBIqtrY1r3DdagQTRwBuSxi4uOeE/vB4JcJz95TnhmlcztXxezBCkpJazxZQ1MoSnoCQblKiuMo
25UqFVYcglv6LkrUU4rQh5IqnHb5jtuAyhlZUdCaY2LvWBYCWB2KLzg2qeuIBBLT3TgO6UXP2qFb
1ynlJ18VIK9XqH1ftOFM8y4lJTvwVPTG9E2kc0kHVjT1+c6feGvvp3kQxr5Nw/VGrpaATG0Gk7Wf
Jbrh0+q063qC0U9Q3Ui32qJWDE2WDHOedZ/x15B9p2HP4xa/eoI16VKZ5KCynFfBJK4JthZd0jMb
fxlbNPJNGOejrsz2jK2leiQsuR2GrL9hhRTirtRzcGvPbY8b147424bt37bmqfdE16+1sOIc003A
dse3qfBLeEiF5Lvn4qNPfav0qWgX6Nup174vEmxWHHmSTV6+8CDvR/a8NEOYav5qlkySN9CqPfM2
SrHT7IgWt1/wTHD9Y22vDx9HOSoAPyd6Huw99Q6coyC95S0OXv1aw8ov2l1FDTskUJXauOMT3gTW
+sWbZ3Zpl1AWJv+FsXsTMciEMCHjGdaL/CQy8qz0ImFB/kJrdMNHZ9B0MAzav+1Hi++YFVBrHBaY
m+WGU+qOPWiuOyxWkmtpW9hY+61SsYXMEEvblgerYEy/G7wanif2PdpEQgwOZ0UmCmM/rSzNdWMM
7GwXvgM+u0C9zthCQnnr9sCoUGO9dE7EOASfWbcta8wPhwrnOtPCojTYX82Y1Wk4oMYEy3sLkPMW
Z23UJKFPy08amqDJ2X/uq2Vsv47W9OKoxT9Llsne0WKt9TCTL6oTA6u0PIY4K6gaDYuGXXuL8uN6
ZXqwZhN+pCNpFDAMYHY58/yzjYvBZxScvW90KvpsFhwrP7QLMGG7BbGEq1hduzQNXUHFy6/nQA8b
r5ybnerDztuHarCuHDDI54gNLGysMTWeK94ztG450Zq4EQmv2OqbwAYNOY7wpOiDowhpCsR6FItD
SbIl/XJIOMeJE2See1ApB/7YOOPbf3XZv0NLwLvh/0eH8B2V5e1fUAl/fMkvVAmgckT7iLUhIRyU
T6ajX4qs7aLWkt8HFBLxKdyAkL9GR/83nCARXxcQuqddi4nvj9HRZarksQSfwDTDVoDyxn8wOjJu
/nU+QmYlUcqYyjqG9zQT7l/XIdU462qZo+K+rDhYItrRTKSCIav8uyjtXPfBJU85UqRlCsSdNGI8
jrmL+bsqle2ibpHDYPpQqgDLja5fMh/5T/CPh3JRmTsfSxfWTlGdeF7N5X6qe/N7Y3YLr+RghHG+
G6w8NGObUhPcGi03q1Ae28glXpf35aUhqfHDyQT2voglzVdj65BTkM4uQeX2mPAzFh5TUD9C0U2P
maaZ3IlqkwrdgvcYN7F5jnmJN+SU6m7weLRc4yUwja8hkKikYY1Ofi2iGC2XxbmAkoLnzS3OgfTm
z8t2vDLOIYAOws8fB+qRwdO2ar2Xs04juN1LM+ydjn8xU5yeOMnh4yURwYarPmU+kwVlWdnify3A
q7yMaDvlrYe1P8HhHNwVg+licAIjjnfLx4kyBXmex2mkIprbTHyGT4E3TSLhN7F+StdWQHuMYFSt
Ks2ekNrTKEaDS6sdsTd5ptgpv9KLwibBsOUdfVeZ50w4ch9BiREAIEvA1QEeBYZCcPRv68DbN4O7
S49lIJuLMQpM4IYHEZgbvg7vwmoJZi7xW2t3qQsOn0Dlo05KjqMh8etgfWd47P17/iW2ubMZClQS
kbRIKL51eK2xyG2MMv8RDIiEeVZUp7Fw58OSOWQy+2IG6p4HD71mOo0Fe/7EXqf2ofIR2IEuUwjU
9NaD4UXLXsjGv6RugCQ0DJ7/fYG4n6C7z7fsGjRS/No2OVf5lTHp0AujuwY2jZfIFLMZdBe7cpew
A7GDzxx1AEsHIgaXpu7erbY2QS0Ky41NB1OZiHNC04x9zUj7VEqOHucvZvQQHLTlOm7ScPV3Hog7
8bvSlgyeGlJ8eHgNFXWv9UB6FKUIvPeak+6KB8IfzQ4ZOxgToBkjQEsU3uja76gBaPpg7VjKBXTd
1OFKX68EqjhuNRjt7WiExbUUU37lp2L5QiIQ5Hc1Lmw/OoF0rbI19xBhbTGg3fpmfqKQzm7xhbm1
FU8EIEHV68yYTubQBAeRFcV9oVbU4byXOW98oIo82WmIJcrp1mJKgIzNy65LcQxcaxirfWIbJBLb
nN9m0smNfW8KY9AES0WU3fsCI+RuwCsU3CjdLLf16JnHAfsYyw46yPjEuYbclUGH08wIilsDAU2C
8yKMg1nE9FmK1+HyySZLdiQ51mcX1xwftaJ58oFrwzdDR4JnCmAE4DaSqd7t1Dojs3Kfk+jM5rX9
pNLWdOMQ99Sz1qGN9JZ2gzjyP24VjIaYphMn0frk9pFqz9A/pn7HiGqT3zZzezl/mKidtht+AFp+
8WbKP53CG/WTrGzZnZYqt9rzkK4qCTuD9/U4mjcaRPyDi6NCbH1MZbMvM04zb6a9ulr78qiVE15K
gw526MkGpSTK2modsT/ohL8JhGKYjvvaylJ6OfldtYSnKIeztes8GKAm5cGZ8zrxo9K+an0R7Z2Q
APHeKDbrs5sr6xkEaIH5vrb5PVduVn4d+qD8UpqT8eIMtXznZi8HLo2uy7PmKpkYpXZwC/vGdGbd
hBke/9O4B2CfDVf8H6i0s4zNFIqe0a14E0PW7xcX5x+optUNvA59npAysiTS/c5Gr8+4Yg0ZUTLG
2JPRD1srLXBX2t0x0eN/b0U3g1qHyfpsrZnzijn/jf063Qc/HdgRvYEnP1yCB7KEtKxOeOsmO+/P
JEdp7hMam2ZteGm2axU+DpGO7m3d2DN5zyForBuKJtsbbFJ+eQz71vnUT+pTphTGSZJdmEusIq3Z
dEtzGiGQlmq+gb9n3erVGh+bsi2HHcxylT1YSqYDCrpbr3o9NU4wkYGm0RS94ILJcQlvqYW1Dv+d
p/7OPIXfYuNb/Hsh7qmdSVz97z33H1/4x1TFnhvNGRdUGDmex1b7T1OVCRCToBUoFqakn1GsX1MV
y2wEtwhJCMKUs2Gxfw1V8KdCPtqspnFbmBb5rX8wVH1oi39ac3sQQoDOkPiygFiyUbc2S8efLGMR
UfgpTXvjiluXfGD+a/aahcy5qXW1D7p5TMgd2I8EJblxtMg7llyjc2iFEA2rdnleeQNy1PDs4TkP
WTqbUBpYCIsdrutyF0AU3mNAecw65+RWk+QY2uQeFzv4XN0vONpZEWS4iStgFBbZLXiQLmUHjcDp
4lY8u71b20+TgFTcdTa0NViyt+4ix2eGIVylweQm6zzU302DaSN0XnhgfjgdQPsgnR/WaJ0ey9b3
jv3iuSJ2yrl5LLgiX1iw9ldrgA8xJnFW0cihi6SsIVSvix+cm0xxWKI4XdwhjQ7TSIUtPSPaTzJ+
nBSZGrbCmrqmiVSKWgXi9mQuVxMetMYjuEdZS1lt9961OYQnTvHHzrQCpLPIuqFf5UqkqklKhcST
hRwfVb7FlfswPUyYr3d8YNp9KKwBHmcFdBhDY1ZRisovq7nSkFEOgWcETJyUmNAb1sSzG3QHZWeK
3YCgNhgCJSpaVeun3iP7uaz5awRQ4WVpPP+siHS+C6uFlI0SkpgIFOltN6xwpOs2L4Zo1xu5ZV5J
kZIPFoNTQb4rljY0vhGFI0kfI/EZ+jCzb2D4EDT97EyvxWVuEFCY4on332PviPA2ynB+szfpHUVw
V/bLscGAfLLJZByDRsAuZpYJ7lSDSEZfpTkxYhpNPlHpPDoynrLCu4Y2YO5KCxbp3qi0QeBWRk0d
l7Nb3Rorw6GBq04pLBq8sLZFRPvHXqL6uabgD9qWFt3PFUaQimlbaGzLjeHnoiMaKcZl7zFMLZ2R
D4hyzVH0bRhkd6BDpVwOyJYmzcqu7obpMfoJLF4+6MUGtWWsTmBd14CN7Z+YY2hSH9Tj6icEeSnw
9PXkfDc+Mr151huJBfWwfPCT1w+WMo4RuMrVhlhmHOYub8wbeRkzlfGaf/CYuXajv04bprn6IDaL
qP/u6aznPd3b6aOoc8DznCRs0+h4z1/Tn/TncrWtHc1M5p2Wiy8PDDewomcGScHSXYjLusGk2w0r
XWhM9DtWoCtCUc5G19kQ1NUHjZqWKOdzn4OorjdYdb9hq/0NYE0as9v5H1RrvgEGDnP09g3i6V5t
+OtiA2H74yBemZlwKAdE51EoP6jZVgRA295Q2vkG1Q67AL62N26s7WzDbpM5mbCvbTDu6YPLXXob
o9vacN25OU6P84bwRqDIjgFKSE4d5B2kjew5/UB+f9C/+w0E/t8X4t96ITr4sf7TC/H5dyF+H8ff
f/+z68v5+VW/1lPWb8SOcZj+8VL7Q1+ITAoiPOxWRH5RC/jP/6cvOP5vOHQhuri26WIg3vLKf7wK
Hfc3XpCb8hCRS95elP/kVYgf+a/6AvZXIGxg5YjAolXA8vvrqzCgpN7IF0+cDUoHrO4ogzQrJfW/
y2LHUwP9jhdUYC/X02bRb8Z+TazNtk8UMDj1jVvEqZeOzd5GU78de6z+ajP9+5v9P8v80dstA5Nt
5qtPnFewpVfHc75EW3jA3mIEcwQHADe2uydi/30WHWEDh/wb4niW4NHqoQ4QSsBwP5N0hOAE2IrM
go7UePByJMtahGQaSq4aLvkuwshjc4ZDQjan8A/zyBYHOIm5k2WR3VlbVEKsBeYB1EIyY6NLlgJR
pv2UW3N/tJGuL1AXSF1kxMG/cvUii6E+chkNcznNwuv0UhF9ofhCm4/zMtiJqIMHOVvRjVliMQqb
LPtM6Q/JAKeSJx3AoaiKnvKn0hyOZB/FaSlczD7ER9quDc4Dy5ID/TfseKC+3okNSiCqxGtVdW+E
KY09JFxja13CPSuuNp4rIivD1ky19K65M7XrXkcUr53nURunFGTYxa1y41KPottXNP3sAGbprfG5
vSEeSVamDw1UlWWZn2kMI9LB8vQ6SxvvyC6/Odi94/Gnjvqhk/Z4ExRGSozBfoYXp76t1ezvx4XV
VxpU44OuUv4gslUHf25VYnQEfdwt8jOT/SEf+9lsivHI1q08zZTAHxn+0lcZFu2BA9D/zjW+Wm/o
3CxvMg8FqOYNke8UZpx9SG9yUuRhCAVlGA69bxfJitN+H7LF3KYHDOZbkCkcxPIjW9booDdX0q5P
8frz3KCLrcuIs6PsXvLZKl+4sK9fDNZQ3Ii0Z94YbSWvQmMzIKB2ke6KSAx1WUjcyiZ4Bdw8vKRb
GAt4YHtTk8/KP5JahuP2NGG31YNqe8DfyDd3YDiiK7cvWBBC0+bmUlhGE5xmA7rwYcCpR8scL27Y
GltcjNvPoRRbgkwr+qXzLVZmfyTM+i1sts5hCTUpIoFmg9qiwM3GS+UsDKQJAdogGS1Uf2Xr5p4t
wImAQxXns+hvBt/+AvyOvt2ekGJ+1dHC6xdD8EgY/ciGyjLO48+63hrXFYKGjBYRfdMuwdV9llLy
q7e633G2w+YbfXS0ANPsFotwml+8TjkbmDyHRYNn6NlNx3IPmIZATi2iy9IGNqusdCTK06GCEGk1
mnLZ8SrPMBoyzLzYFM9XKvHMCsEkgZTcBhfq8sLRQOQr6T7joOTn3shOH6jxovZ732ap+a5zHDo7
EzPJbU+8LXhjzrB7uAJQth4Eo2T6vQS8Q9JMRzEnHG9E14DjPLdPfHI9eqsxO8KmIjhc7ZTE8Q+s
KCq/0rK2GqdQSDZKXltDmmvDmbY4CWUeJ77KuSIv9Da8NmtHISsmAT4pJqsYXDSTKWPRk2dh5+l+
X11nqo52qpAjgpX9XCJpLmNis5Bj98Kr+Ct1nW1S22YHhx6G3lSNNVkHcyFLzdnH3/gTR8biCQmh
yfBaxbKIRHsXhKvd+ruV4cWZrohBembStkSqs0AFZNRz4d8p6auDt+XHTfrpicR5/Ix3Psne53oJ
7Svm9nGIq3YgHqabaDmWZFduROT256qIeO6VlyZeVbvTzp6d4AgUIj+KQIbHNh+qe2HX1zpDQo8H
y2tpjPHyqxQ/FruUyc1ZzobBJjMUuClnAUhoYkm+EfGPniHK7VllzLQyv9gP5OWMA6xo8ymou3Lv
2yO+R2fB0u8bQtyyq6EQTgb+7eT38p3Njr3GEDiuVvIKcd0PVlIpNztOA9iAWOsZD2Uz6vVbv/Zf
eUcNtyRy/MNCMGBXsEMLY9vszadMW+lBmWX4gqd5fHDRDng5iPpcZ8F4106hwYC4mhcpzPSb5sp6
v6bwigI/O3N0pieSduanKqAmfmyi8F1avWrjKbW7U0lk/CrQgb5x4UTGBB2rpFvW8nMO2utCaR87
MrphJkO4sZpMXe7o+kCOLyXVg+Wa6ns0pHKfV9FxrDcmFIy08+rLmSCQwFgsG6roSwvXmx4R6hYu
KnewCagdGJQdXhEw7gimOywecSrHC38/iQLXi22LqvkMJ+Y9YhGWOb3V3JRRdvT5Bxw6svSkAGnJ
5GjU7ieHXC/vQi/qvoD+nm6461i/y9luDx54pz3lntbJH3vnjYK7bm9HbZZ0RNQPZdF1+0FM9W1l
Lv3rzHN4Q+xhuCeWHV2H1K/sdA5lvQLCc+SiKG+r1iObiV38RMna5z50i2tYfPlbSvnebZpagEHK
0WcSaHSNtRKbcNs45u2okBN3BU/+vQdD8BjZ/vAlDAQuaL/CgaynhwEDYYO9O/TPTTRGSNS5vrK4
u35dMAnEnWpgkuE7Pudm9payLYAa0pgMD/iSWRk6exCN2P9My/ikRGru3SHrQBcVJhvAkS4X3v7U
Yhi0n7pWzjZWWdMLDHZIi+jMI9QPcuiRwXp0lMrnKomLfwc7ZaPvZTa4Jhh0+BLNyrdgWfLchzAE
eKgHOSXgkrwv9GIxUwBiwGJglqAPBnao+AslkcPgySEomvHKyxq6aZ9HnzLYh//O939vvicE9p/n
e/Vl/Ots//EVv5Qu5zfkJM4gK6Ky7Wdpwa/9ockUDzcoYEZG1GLA//N871K+QszCd11YwBEC1B/z
ve39RvYKXxREovAnu/0fSF3sN7aw4Z/CiHB0PKJtUWBzkeD4s7fIx5+0LiRnQ/Ytn/yFNdubNNwg
5jX9LVR2favJLoE9JICgmrZ6DJbwhuwhRhBZ9k9dSz7DHMbLzPYq7sPtlGtn47ymjp+CeCzze8YO
48scBOz+/NaEwxem+FGZ0LLxnirV1eGwLSpGAwO+Z3CmLTi0byNXm+3LSBR8LmPEjdY5ki/oupuw
G0j670yUaJhcVSSnxo3TtCpd8raZGci4g13Rv9QhrALyiuAtrAvOaZ/2NzuNpn2Qm+4I6c2F0jq5
PGjIxnShcWlQXF5QFhoKiy9Bu9qv7pqNDE66tVrWem6qwiNPKG24c0GHExPvCkv9mRHBQNC2gkqC
EiO8+aUUafg980vmMFA1ZEops2pNSV6WqLD5hK2LMriJbwF+oWrtK8hSerPTR7wyS0tzhiNfjweJ
R0nudYudKQnb8kTPcveuRDE1MZy66VQaKsQZHnrvq/RYnziE2YqxeMow7/DLmsub3hbtibDCa9kW
hGCmpYytJiIAs2S4ofomy98KVTASrOxNg1DdtO5wlS/z/DZmjcDrPt47jWLTKGSEFTnzv00qXeJh
Xt4JqY+gNqJdpSBhq+pVSbI4K0ZveoTdrxle672TVvMTbRYj07TRHJnhAWuIdstpLkcYkcEhtMWR
u+ej1MWrX9s/QHhNV3psmcWq7JaxLtg18/TeNuOlka04VROGHxZ3CZsqGKhr5191qIcQI/R9njUw
Ne3qtQOpkMyD0e6rRv7uF8K/aXyd3i9RC3bQxKQTzRj7RqIq1TpXR3C/G8GOEb1koymlVLsMxNUO
KTW/ht8+3ITTYu8DzzXPQVsUB6Gg6M1Gxo1z22YXOLCPDTu/r2Heq4sa1nXf9Z6Bsru6eIGz33Fi
tXeeQUHqVKgn1n71ES2TY7/oipOoNhpWYfoxbiimHOHNhwm5+cy5kB8GQtQHWg9d4jZGdJQ+vD6P
uP4ExDpJOTviCpKxoGS1+Npy6d1JMMB0PlMASpJnZAx0GpCzE8l5DabQM2W9JzYKo8lWz5YnzJhG
6VejTs/ER2B5jR2Lz8l486irjp1KlZe89/BLdW7xw5m94fOsKQ+0JqQ0ZnXeZD1xmnk1q2tCIPOV
70888TjB+8Qh8fKjnXwCEhKCGm3PsLjxdpVSU0PeKONkV+b8uII6CZ5qkNb3JNtAJFLoVGx2ff/g
tMhoKVf+EXFwLnmn8YafTEtnR1qB7YuYKRzarc7E38YHi0Rnukzf5rp3dmYq5T2VQRbLIz4WWSTZ
poZKrd/7jkN1nwXuesH+JE6Y5tclOk58tNTOWH1T7Xq+2828uUw/LMBORZwtaXfw1TznP9DnwE5R
9tsj1pl9t9xSxzW+j0zWRPlzF0i2JRvzKhdRc1wK1tV5b9jw/lEV+4pV5Vr6R2BEnBJqsXcwiI29
52AHoOIR5FXXO/s00vWRtilwPyGoT0zNr9S6qtu6NL7wSL3ZujBjUVPt3fTTZTJ697Y07SoZajCs
wii+U+E8JIXdFa/NUGI/wiBb3NiozBZICO0kmjjZfd+kL32NUSOGPBBdd27dXqxoOsCdk9dULXaP
rhMZT5U7BmytvYKlRtRvN4OhBFeW8xgvyqY5HrjPYa1X88bH20BwbBpZA04Ta+S8pd6vwOxKpyii
Bk8t7iwfXAeIl7SHPWSAcj4GJBTqHKdgsY6nxWKfG6fwu3mXaKALqS8eMEm9g533Tq5som+DPT4E
DEFLPFZ4YJ1wAkxWNphZ0dNtR57ZxYb0fFsOlk2rm36kLFD3pTEZVysmUPgms5UIU5NRbIFYrlmY
HVJaxQGSrrcFEM87bZjyZi0iTCXrTE+PUHSJj6jQMrDn/eTaRMMiFyDkYoc7RvM57qzhuBrZwBk8
3UQzp5Z2CNpE9KvtTKgcZ/a7tHgvWFcya3mcQ9I+VdjC4XNRNPi3RadeqaNB6/Z5MCU4dUshYvlR
823tWrrVMFruZsswEsZyKCFNWwN/C+3xOSpK4nVhtSYsgyJwy/2ZGkugBkb3Q/XBS0PB/F5Hy3ww
x44w00qLqeGyQsmFIjEyN+piVP130tA39ZQCSVU1ft0FIEJtB+LOZjK5xkXc7oW5loelmMyzBvIO
3TSI4r7D40zNYgHnA3mNXTk9kUDQsf9VnHe9/1lrOJmCKZ/ry/TZbqvqyutSgoY0QMapgw+wQ2W/
5jMAq7tw891SVT+w8kUHBeg56/hTKx1xlmEbSG9oEEtt7NUc/eCzvhLTXIi1cZdIKzvd5dIabxc3
lLzciQ2y3MZH6P3oov53dyrqQ+0xMEjlvsFDxRtdjf1rHfJH6cElhzKr6ccA/GpXAg9OXA5RnE1L
fg8CsXyI7LY7m6Gtr2U18WMIqs9zk5oJhympRHIjbyEwhJ07OU9F4cMhzxD0SxVyrvtF/dWmiBQz
9tqeZ7Krh1IGgJmxNRzGUjfXVD4QuFy1u5PO+nXM0zWWbDkBuvM9LFCDyBD2IeRxW99XDlYh3qZb
mDEPZiX4gXV8+3Kqynce+2q6mRYRPveBx9dCgX3Cwn72oTTujDrK8LvUy703peU7cbonz/fBq9bZ
rWu348mhto6sTl525F1SftB5kbsvkVdRHIVLAMtiuHd16tvcqALY27OE9aX7rRfTl1jks9b+7gkl
vGTl9xzbndXeSUtjXNEqOAXKCz8v1Wi+45D9VnbpdKdNBzaxlLk8ld3k3HmNL/cWaFnBydqxECVg
uovQwBASPY9PhNk89mHkPQIqGc0dp6bBiGF39s4jKfljHKgs2h7UjN8pZRYbs2bwj11neTwyAjvy
aRgjqliBhPkJbgb4vrSRs1u7prym/ETdrfmVUtJLvcCCScqWAFufOd9JGXlPwi/sb1ZWGsQsMQFW
sGlmde7gcfTUglK0nihvVd/MOgTf287jk14G4gocnjcS1vwRftG99sVVimE2SCSvA3WyDF3ycfZl
8D3NgmaX22NwF01e8Ubu172x5sJLhmap9x6rPCBTncZa3QcNQGWnfRwcdyh2Kz+KW1XZ0LzMtIWf
PnUzTB4aDRrWr+N6J0JyiZk1lIc0WKbDJlHtO74v9BHfOJbIJ82xJ8T5xmlWvfGKmz/VizKf0K9T
GhiC4mx6CxNv2vuXXkg04cIYU5JRNPG9Zjbh0ytprOh6Oof2Rcq7jXMT+2zHcuyCBid3eaOsKlau
6EByZyZFYePwMOEPejNDPX/3ukWewrGNrtqynO7cLB9eWscbwNiPLTWQTu8nVeOBhGG60q/RMDVt
yfVhXJ4zFvfRjnvSHCU66hwiznW3yn1R8jxcsRWBTR+mtf+ypKH2P2Xg+nQiQ0rhMfq5EQ/iQC4S
UAkLYbdyfZShKn+XwUIYGZ7UU63FisYDPvSG7XfxjvwtDmwHms0+purzPAszIRCQhbELmjOMx2Zp
3sxUpQ+IMuybG47XoYmeiJUQFgQ99lU0ok0Mmg4O/qSzq0EwktZCbqvhRjbPFlVNsWMG9nEJm+q6
bAGVrQ1aKLjWetcZuh5jb+i8w0JZ7kPtesOQeJotdylZAsvSmq8boefYtUtxmgOIx3bnpOtjSLVC
e6cy4JcgjZXZU4MRsnRiWGi6fOPewRSybQrnGDeLrX+uCvrFfYIi9dFNh0kLrW48lVHeRKBCtya7
WrkGaXsK3mrdiYHuy5xzVIU1TcOj75ym3PfegDc2c6KXDIjiUPEsfo38ME1MJLPsupCy6MnY0QGy
J3+xYK2j/5dlb8BaKZ+G9lpORneaya48qh7GGyRqohoenk85rcSql6E7D3wmk3lyiuuu9Ogasefg
R4Np6pspKhaqQ0Hm48h25nmsorT4H/bObMtt5Nq2v3J/AB4RAALNK0Ey2WTHzFRKqReMVIe+bwNf
fyYo171Vso9s32fbY8hyqZQkQSBix95rzfUmpY0uEmsBIDCnhFS6LGuMsed9Z/QcHRzyiAF79bER
NLTFX5d0ErvEYXXe+cBO9x3dyHdBYX2eaPnCo89JqazFTcWPPS1gay91ndSf4tkunqZJqtNSJ1Ng
olTcqlhiaZFxYe2irENhJfAxiWaV92do8lp0e/e23dDG5z1+IMqg2PXz7Aco5NNdxF5Hcd7o3Wy2
/W7I3aNRl+O24uD+hBjA37eZMN8VKrADoL56E2asTDlSDlSiVXyTRNa4bSvovlZSOHy9XTx9yX1j
vAGp/2DNsf8NbfDDyDth2i9MDAumPjSw2Cilhug240g7bxgRTjvum2Zf+7PaNRqvFwCY1aWeJvFu
CgsYmDnbeIhH/TMiFbCwvlscDAJXtgZwnKCcHEzqONc6QhENjfnBsvZVaNPF8l3jobcW/VRPMf7S
DKw8kBck8aXVUoEDks91HH+va8e+IwgBqDjQFrA8GISyjoV/qNNA53Ee4Joi5wNFDZvOpC904v37
cY6Q9BOafcicRO1AcbFgdlV1SoR89DyMAl1H2kYw1NE7Rul0W1YYkSnsGu8+QxgHj4WBpczBdqe5
b71dO924lsCrFElcvBl199ZYzOdjGuK2msFIVPX4TcxsrB65q0cNupnrNwxrE7Unmh4ecaAzi+6D
G+FhW/J35VvxbuTbAhA4fwIje44jb6uXBuNO/qlLkQ8x5hHVbgCuDozOsnYkAmMMTvzwlCYdE4hu
DjdFJJyAmlmCryvnNN+1uGsG9IHNbcXMhLulcwHgZ25gtvRW8yjKHuk/CLEd7HnwdiM+vvuup96G
ympum7X9M3tdffSbJt/hL1kOUeqJ71PJES3t0/FAWuSwnYzGvKQ9epKsbr/28dyf3AJ7icDKdqKv
tY1jXSNlcIhjMI3shLFqZDYYRzAxmy+c1yjFdJlgmVjS4lgO9Uhq79jpjyP2Xiwm050Fl+eVUuol
MRqybzC2n2PHYjA8LxSOVYx9b2mw7wxGS+bH8NmXzd0ktbWB9fZaGix5mBftfe0Ae52U5X1EhFls
6GujzRbeyFgjVC9LlSns35l5LnV8mxjlW1+7BNt38XPrIGJnJd1PmuqojGosWJX5RrM+P1pjaX/r
4M5tRdQiszWK1xm36Y+6LpADRWTg9Bu6HhTfcz2gOHaKJ0/3aLiqKCXFq/bCz6MYMsBs49jSoNDT
EwDMpWLcGYa0nfpp2quOlAOK/0JyxpnVTTZY/lPJgkUCiaWY/6RjiNIb/GJv8CQUO0dkME4QiUxL
ghlPR+GWr6p277JU1Q+4vSmsZQZz2VwyICFgLXNoh14uu90g4vrelI535Df8UVZ6P8zIfLLTisUD
7OIJu2d20orNFffe1zCDVHuTGRkYKGewN64LYUjl82lJXLCXQr62bEnYaXpg1+baC6zLKNA+hA1X
OmSwKPCj4Sp4NxWVcNSZLAnO3I7TATnzwR2bz0AJTngG6McntThmkXEX+h21Tq6aXdq4p1qO/R7g
mLtzMyc/1Yr2X+OLLigp9QMqUzMI7ea2jcYLkG4iChLu+FCrnT+Xl8auyy2NGfdY2hnJgUYf33B2
oYG4FMYDYryPyLG6cx8awAlaJ4Hob5U3sagjUIWFPMxA3LatGrojca6CzkVf0ciHhziF/mUwBG24
cEqCuNKfM/KzArPX1p6RJ3jG3vpCYI18njyVbZ1ZT22QDtX0XXXu+MzaR+6SQ7AsrNvh1DY0o7AA
oHcwoFOTKEOfJUnMXSuy7OA75Z3d5yjPF8setmYy+cPOjSQRIilxmifMhIH0lwr8pq7fyXuu3gD8
WNBAjGX5isyQgbzUmfFeod1/cEVuHFI2vHZjue4MCzFtkZxxREJ1kpKZmESn1sDiYRVaf6HO4tGK
gKCAhvEeqskKEfbGw1cjcX5ErdTwaYmHBYXi+ZdlRgKoEncqgzoRE3N3NTyaZmwv9+3skVg0uUV1
Qxe0QCHRM08hotLZywpnKdiqZN7WZoIdMFl0vYdQEHNeCI17id9uJJGlsw+EU7/oSH2gQlDPDcE9
uGx1f+A50Dun7SSHK+918nD4Y5Q1nyMgzwH05wdPduF7MYOSBtPpBRiCkBTkHNKN84Re2rplANdt
mn6Mz9QQ/byHgFEFpLc4A1Rc1p+N04s6vYnCaV6bREjkJ3ph1DSFIzclhxvKu6kiDdh1qva1re3m
jLbRg+BA2A4eOEGPT0PoDjTrwhuSed+6nxIlXnBOSGfrNcPycciY8vAYhzSNaFAzxCOx7s4aanAk
3D1wkOupv5maMrld6roG+kyDB9fnEFEx6akHP94XPdv8WgmxyrwBj3Q/220MXS4b0v5Qexh1wD80
FK2eTRZUZORjgFx3flZD3dN8ElkN7E4Lj2/C8F9zswOrGUcprt4oRKpHT00/6Wwked3iQdst0F0B
PHccvGeTLZoStKi3o1X/mCivd4wILtqgrF/QpJ+IMOq3qh5gSyRhc5mj0fyYrvpTDJAs2Eur5GPX
VDg6SMnynjrVsp+yllWPBOuMHw07GU4WtqPhmkxw12qj/5jVhriHbKRvzNqTPofXzrqgLHCffGb8
BUPr0D8bRmx+ga2YnfrOG59N06IZOpsDT2lVsqxuCuWVsN27ON5iL0DD4U42OxYZ9Wm3sVo/Su/p
8K9eH7+18nMqTa32vTMpvukiRVrfRino/O5xiTrmg4zoTIxH1fwiFjc6pWggAtSK+geBPJIYpI5C
bXEYH9LpaO9j30+iTZQmzcfBUdV+Mth1o8pmM+OW2nLYSXYi6tKb2pjwYtEaPbfh7B7HSfQ7iF3Z
bS3LksAjV4rbirTnD5ihe/yeM6g+TOV24LRgrqykNy511tT3wLy9QxHLaNeNS30zdcIOrDrjLjHa
qb/z8sL6RPcWYjKu2BdBfXfbVs20H3qqf9qZLl0aA/p5nI6B50fYDphlBFHdFXdD7381RokyRBbh
wYlVvzX0Iu/8kUcDe3S8SxrrCCbbeyxnZz5OWo0nx3CXaeOEpMngp+am8aH8EH996vCD3+E+zW5B
Bn4ht1DuRqId96mn3yMy5wLTxm8WeiltRRkW9Mpa/WokVrh38a3tapMBtsGNfhOPQL1G5L5HqPj0
bKqs1CaNtmUbWzNRXVIguFQVtaxY2rckt3XAUWE54MFymMnKbnj03Io+sAT2vyUIbsyfZhWjSorZ
bFKVVWTYL2N2a7gojxXjG3qsKJ51Fe9l5i0bv1ruVbbwz0V46axZP0zAMzfmmL36nfnJilisEUzs
EpBqWzol736JZMSPGHhMUxxtIZqLbeka1d6UmX2Y7OIGY8nT4uH5JcBcQTsSCy765cGKE9QSafMR
Fnb66EQDqjATC0jT34wY6z8bM2MQ0zI+WQJXvliokFcC/U2N13cze8N74afNZRqaC4bWXG9E5bG1
y/UgGOfGA6JEHYTCjI8NFpFbezS+2YY73F19Ti3r/yZhDEajx7c/9ZNC613Mt2Ndz8c2b/7re/23
gCnIWFan6P/u0/jQv8d/mVr//At/n1pLAVJQCaytwpHKtNbY6D+m1nL1ZwjTx991tb0ymv7Dn2H+
DcsENJQ/OTMs92+C/1iriUK5DLrVfyJHvZJQ/jSsFh7sTwt07s9JtfNrNHjVVAl1FEABn7EiYVTe
VGu9B3+ADquwrWM2r7mxYwRZnrFM901qndzMCO8edUOEatvg48KOPz+mcJR31zwZcpPVI6tsh/Kv
ymfM7hn7tBg46xSFY4cTGnwNXTsY/NHz7Q9USn5BZ6LATUkc4cgmLPLQePALZhQnxPJ0GtHrycr7
YdUuFM/DBA14JrzRHfA0HQkbM9KT73rN+FyPXORno0Qet6vt2IRbnk6Au7iWNhUJQSCB4GXZ5mtm
hFFhIlUBpIt7oy1s8mGmPLkPiyKmjcdCRiakE76UhYmVDp/dgQ9VbfNlML5McZG8eKlNgYAFLUWa
iBNvpku54Fbcx1U4vPtSJJu2Iw2CpibdRQe1auBXI6D6wCfP0SxPKXZYhQIewzF2/GkCA382KZJL
uQLP5vs4ykbjCNRsDYJAtq+fDS2HhV55lKXrpKVWpntjYpcdbsZQVH1zkCIK5SqfYYCezU9OTmDa
XY0tFNEuW65pFuPxv0KWf0vIsvI6f7cifHzvYjTT/V/d8NbPv/bHuoAb3pcYzv9wbvHw/7Eu4Ib/
aZC/ut3/WBJWNCmTImKElWOv6dr/V8gCmlTZSsIil0BNQOP+R2hSNDl/UrFg/qJ3iDWChQEVi4mU
/q8qFmzjzWB0AyPGkSyhoEzm4UJgVu9s5qnpPv/pwvxLItL1xSAC4O0Xvg0PSf3C747UbJNd1duX
mNzTt2vMk8Z/8/ozkRJscf2GHMV+90dSbf8/XhrmO2vz6nZbhf9/VuskRibJhpb2BYE7L+23K3ZZ
T6jL3DVSh+AZdKj4tk0r6MIFrsjvX3798f9v/V0/OTohE9YfnB6+uF9f3rSSqMTVY13ygij7wDNG
7LiiH8iUSar15eYCndrvX9PkHvnHF+VWAXaOIc+9Kpj+pFAiDzAcoto3L8osTQxunnU0UXU0e5gN
/mvd09m0E5gpm0EOoA7ifui/OWsuem44XIcGqslN7UYkgHZGS+TMsiz2u8MItSGeehTyPF5zrZJl
xZKDVkdhO6OysYLffw6ejX/4GA5eI+WY7J3sYX/96jyY1MMMeY5ES85N2UC+2pwPQNE9eKUveaKr
85wRwPz7V13lW79+Y8C7UJ+xl5v8719f1TGQTM2qlZdUjvDWr8hut4x/iHTm4CVh8CubGCtmusiC
roFNv3/9f3wwAed69MbQVnPf/PqsgGkhSjeb5cVZKffJ+sDQ+iHneSQN6PcvJf/JjWJJ0t1tT/CC
+Mn++llD7falEIO82AlJ8gbn+2z/M7LuGnwNGMJ+H4WzPp2CENjanXhYrqnTsEuNf/F1/7MPbuHO
sdbKB+XEL4uEaRuV34hQXAbcf01gk2pV3XL6FiOkJ8D1v//s/+whWR1EPJf8Fx7ILww5WRPYY1ij
eWk7To00MAGJoy2uzsOaz4UYxKZRSd4XYGTu8mteEJBIUtwZwuMwIwurOhsOCWAR8gxMkvCkb/uM
bCPZUz3FMTZFfmrKU8ZBGJeCj/kv3//+Q/zCdr8uLy6MPsxGbBWUQL88ImkehYOHkOwS4oZp9tfA
sOt9g+WjfmvbwgjgDbDuaS4gQao+sTLLGohArumh1mviX5LZxH4v00I/Voai++a1Yn76/fv8J6vg
quREgmnzZpX45W0a9AVGB+HIRS0uF+R6mWXd1m9yTe5q8vZf3dlUyX99ih2xJhHglsbrhVz011cs
ejKZRaa7y1STiqR6YsWhjKy/WGASBmHNj63lELJFRh6ZXWJMY/TeSD6eEyBh9QZOdf/NAlj5eE36
IrW2fkssm4VzvSeulwgwAudJhOH+bTe61VkDK7wlngIxGkdlfPdDdf79ZeQT/Pqx+CR8zxZ3rmm7
2Nn++sAuXua7wPGjC1wJ5v21XogFc430AYcKPTvSu8cJ/MTILNhUIDJQ7RMVsfchkaSbfD12BHqu
KbdTELIEz7p7ggHgZcRON8iglBETAEwejPSRWSKNEfFkfKBBH/Vb4VYVzLgrgsP2XWLCIaDwZKQr
n4MtYEV1rAIq26vLy7BCPLyuSG/NwqvuxzTkEO9VrUD/Y+bGJ0koARQ3nX8VWSe3KBnpGJlkRNS8
vzH+phVZ9qdex+U26dm/TyRXFRDerLR+hKWI34MpHKwRe8WOKBeG1WZ0XaN+Hco8nbZW6LrPvt/E
YtOkkH02rTk2cBRUBMoDCpFuA6c3vS+NQVs4KIuuzw4Lqnd0r8NgYyclLMY4hp60b81oYJxej+FJ
4CF8JmpZooOwx6i9GBMm/k2qSLFH5mFiqitAsdWPblTkDMF8Ow63XspJKyLL/rXOuEdcNJTAJtas
vqaIEZNSGhDTh0OVd1cRcYlgjjKh9EgnowREtj7W7AKEHvHXtNutqYpreJ/X0UJGMw9I5ZaZUUby
XSjpANVMQK/4F+vKgnEsUr+gtECIifQVF1Mns3dEyRvfj5nff/UQVKL4M2NxIxLAWr5VRPetaYP7
82nkNYhoJyIDPwGYTk4mcgAYYx59v76q6Ek33Y3rm+Geo1T1GZeA+oQdRW0ap46/caPM36MhTPvN
EkflVgx8PUEc9uUNTgAFjN0dA26sgvhOcjrmGQEbvoGNV/Xf7IapHKk7Uf1iKC/JsJB7XWafyjL3
ixd3hIDicwPkunK3BfD31c0Ns2NtUQNJIHoIe4w5mYpWsp0YEi+aRqwIHy2Tfv3JiEdcyCSRpPRf
dKMLb29Aa7zJFwItUONwpUtjrM4i8iiGWMHt9wZqB3SfnMMzI8Mw/zAbHd/YNd2dhj7MupEwU1Sk
FQEfieauBKkj2UztsuFn4PQBPopvjVOiXPhSUWQagRCtB7yZYC3mYwwkMZGwZCc2yiPXW/pg0Y79
HqoJkmMiqFf7NcQyLSb1PoeL/zqZxN10S2wfnQGGi2GzDrkErOyKNmay1/CEekFRWPx43SjeHCeO
6kxZF74ODvk4mS6qc1Zm5ksjVsUIoiz/tu+xWiFUddGd5bYPXpBkOf5JtDCcxUBF4WOiHUwQDdGf
23uKi9Oaa/5kn5Nts2ljmd7ToWaJQXblrRlN/q3vVvPT30E0BivqdY2khvNuQ8Um6qaEbYSV131r
/PVSrs6ylw5SAiTA9d0WzNRTRo9gVCviVE3wlIl+BH3HbzMSTdqHa9xeFBGaC5JK3o82laE2J/mC
pMrfgZDTT0PCccPK0zUp1mR77ud6Ik2L6lGbXHtZaD4UjySvlMVj9w3R+vyUrr+jxckYIyJH5Ciy
Ub17a8YgTZfuW50T/Nj4UfOWZgXV75x0+ulaKCxZQ5Yp82Tnpw/lGheK7tpHkeCl32wrhw6fuBZt
22bttaOaIVowxJiDwLi65TbiuzPXd1tWDRtPV5GnG/KORCoowiuojDslMyJIh5zdXGem0e5CEhre
nW4NYxwr8mePTdfyzlHGU0GBfiHppDFahvDXAof5qb/LlrT/9vPwY62ljyZFr9jmStsI9NA6gr+C
JYtvT2nvNkZYDckT3M4N2w5vsDbx7G48oyQBnCZ8+CU3Yl68vD5CMlQEtI70TCiD2HlgLU0Xz566
b7nf8R3VoUdxx//10Y+3u9JWrG3VelQBsZncSE2IJcuAdXT4pu/LznKPfJzqjJDNeUKLhnwSajTv
FtlseyBwSd6jd6cuxxhxLxCfoYYk1BYO9+jOj7aX6uGuniIjpksfcgaUDqAeOIqLZ+1o6/FmIFWC
K0SHwa+SbKl5TNyXNPMY5PeNIIr0muSKaEK9xwW9nA3ADj7/dRHIcotsrgTWVkDKL6wrraxj4/OE
1c768sXUewExYZRj6GzfUsaJZz/iW6Xcbw5AevlWIUlCjWIj5zpMlKB+SXyvQRzB46wj5x2ZGs+r
yNFpmQny9G2keOLbtuOdXO9Ee04lUps191VJXF07icjZoqZtou7RB4s5Hb1q/YLSxmZpMiuSUcny
818TBGbMvDiOdjtGKBRFpoemeWNi13zWIlXv1hrDYBoeZwA62WxNsydfJqvlIlsmY40N67xP2GTi
129OVFO9N3KaH6+fkJ2IGrnD4QGIt6W5uB54l8mo35Y1RHqMOKImLN1iM3GkfRka/iHzPb6Wfq3S
Fih3+c+K8bpt6kVwR9W5YR0tL+azL6omsMj0DFgeZrFth4GTzHrV2nqc/W06SWig7fp2YodPka1B
rTUaKCsoY+CseVbyWAE8DreutVgY3JFEw4+IWI6SjIfLtNcA8bhr4cnG3PIYeNe84TgJHWs3wT4D
Z6sQECh/yNXT3E4MW0vk/sgXWqHe7XldWfi3/ddreFGeD/YxayocF8ADphyvhsPfzofYbJ6lMCdu
kTWsO1hClrIkva59s0lsCxmhLPKUItF6JGd2jRG94J64XoCfa9F6cB9Tk3VhXVjbyGXHud67zBnZ
1uaejJTZTfSXlm3ocr0/bZQcNymNgJuxbOzszh08bhFPkBlrq2w8xZHGxvfzhkCx5/2oyTkYSUMY
24ORgurKVztvBAb75XpXOHO25p2aoSRmmywz2ZTEJau125B1K6bVKUtZMhkqWYn0khmB25g0IVqV
kraUrB/ImAruPgbUedDaE3+mKYTaLeu9vJc2H4FbTr6o2KlIZ80jniyXNMQn0yURfk/Q8vw4pBWr
vZXIB9LrIavFzEo3wpCIe/o1rfe6AsIRygrMgi4XG63Cun1jrIVegKKOZhAbEB6dyNLw4caeRaGK
2jHcN4ZHUF85rO82HXoeM6vRvC7+lfmp0HbrbGqOaoBKNIWfYtqE42NkxjgBKTK2tJRnVGPUQsvz
CHV1PvTDWMYPcsUJHAnWk/eI2nkXyut5BaxB3O1Ckrf40quBIiQyMhLjVptziYWcz+v606ONTOR5
8ObiAe/q19gIjYB83e4AghZpfMvKPmVR+iNCEb1xTdgJFk6fLBgriwd4ZnvEecqOpBNENz0tT58K
RTuvWUpOsUpqvtBK4SG7MYbU2osSnC3W3KpHwDUXR0yr6Z1ld1IG7JrFkZP9fCiZbukgr+sSJbpV
/fDnnHrBWcPimVhwh7WdiUZ6nrtenJp18T+hcqQR6cexvAenVnGCIefgaFTmmnqHmyBocsDvz1HK
rBkGX82vjS+5SJYi4I4O4ISlYCIEiJBA8gtGapxiLema2CNCOiLi+hqAPqwjjetBOctZZSfL51H1
44b0cNHy9sLFpdmEiH3aMsvgnc7XzSTEZvxG97/K8BQR28a8tiZreN3DJQLN19ALuYOuB8OIKPL6
lOfpGpjYs6ZVJECFZ/pp7eEarZ2sedZT7cv7aFb+qzT67pu54FxDUwu7l9vJ2peOyf6JWoK7tYhY
rRZU1S/XwLjruumnGYujz4ZJNBSTGjNf68069L1bojCZUsM0ZI0mTuIN2tK0qXrWvbbhEerXvPEk
RFZmVGrvrN47rN+oZwPOdvHBZAb73R4d0WE/IBGP+g/dnMoa/9b4WWE09EgMduYCoZN9dN1FuEcO
bHN/6DjfIBce2psK1NUe3yCuD68jelBki3zB2UTLTq0J7/R5uCRuarBtoJ/nJHFNu3YAIb3EdKwR
y7sEOSIOvG+XaF0OriWzEsUPB7gxPhzcxvsoK4i+cHRv7nnl+AWawvxhjp3lNkb+9QF5d7bteEJY
nTntLHs2xFVE5RSINrVdG4/tlbRIOQ110Wqt+WBGyvg61Jb6Rlrq8h3B34jRbu4ot6ec4b2jzbOs
O3ErV4RjvsIcV5soqe5XxmPTkCa0A3/dnJQ1J/fEyXnbKHWSj0XdR88ONf4cDAVUh2wlR2pP6Xvf
qsMPseFmX6tG85PwmQGZRE0HcHK5widzEU2kbfRofzetPzr/RRH9ezNfBgs0WP73me/H713/f16T
NkrK5P0vw9+ff/PvQx7X/RveQWfNvbjOfi1+6N+HPJ4JqQivMlOP66zFpE/1x6RHYGZGD+B6rg8U
2VljIf9AErl/k77nEL66ZtSZNCT+kxmw4/21GbZGQjgMmcnmJLeD1fXaRfzTPCDS9pRjrYyPXeEO
58orKWVKBOxnSyPPh1JB4YtAUj510tjoIsJPj9V1C2NsOmRxi/EkDAd33/Z++0wvAcmllVM2wozB
3IWkxUoGvzpXs2r2A7ZDsCBZrI6MU9x2P6RDCKLAsCe0F56COW9nCueoDytU1cVM8cvBnuxgcho0
rrCo8KIPsuxIWBsVCVa+kxLkO73KLg/xLISd/rDA8cJwmut9Mhpi2wOFv0RTJU+M6sA0zGW3hrKt
MqzFCJsnBY7llr9CfDF26PEGG/YlCeu028ZzOh1ai6DrZdIldhhLfAT9Np5T3EAvYY3sULdd/AhE
xGlwbayfnEirbsc0hRhjui97xwWFvoknXTxHMcYb05rB23b8MRpEeWZ/+lABaVihHeOdZ2ssdXkf
GI2othFgedjlid0/Z3XqPuLYsi6hbQk8AaiL5L7Sw+rS8IxlC5XF34AsBi7Eso4YqskxCnAJra63
A7uCbGAakBfC2ULyltUH2pJ0A7R5I4f4ATUoWAQCOex868I9C2w1IUYHvG7f9gZVDX4LNLees/Sb
sOgPYGz6D3an03RTJ4vcGaNJnl2qcce2Xan4PtRwC3v20KfiLUlNtR34LLss7F/DEu4HWQQfNBl9
gQ/J8HOLBeIk49rdFBreo8o0SqZebfM0ip46m7TvLe3T/I607+Y+L0lt4ioXsbupi8p5iIbOwcpl
hKsTZHwL29C8kIKY7lTkAFlc6u+9CXkX++Hi7MImYc2c0u40s6+0qUOauCfn29zJ6GdIJ4SnYoQX
afWfID+hl4cSd4ydNozOUw/p5TJzZGneAVN1n8XUDD9wxzCIKWp1JsnDes4cO92SFDDcqq5rnKAf
Cy7ZVBft3WCKz+y2w72Bym9nTuK7XRaf3WmqiD5UZXMcU3tAfk5OFwoB2W2LVntvHq3Bl8UYqlWP
nO+cJswHfKN4DQ/CHhRGJAeoHlSNafocw7kRW6k5mu06oyEUD5Gp3IAbMnfKBfHE8XMUl7FaiMUT
sbitGzrJwSw1FpvafJyUfFs6/020A4xm2o6ti7AQIWxCt8Z246a9QUJu3ojIdD6q0HshKve74HhA
AAF0mV3LFImKkrrqATs+TSvfS4I0dsxDxJrzxE+Aso2xBWhZcvYcfzrOIEGom7Fms+lF3WTedX6H
IdkL5zYKhrZ+KxKjHp7aXru8pW6fGkP4OIKC3LRNVt+RJDJuYYjP+0Eg9bSt+JghCWsuJhEkxWEI
JbREb9DpObNEmu2SrsYqSaSFuuvIHdu5FkJ3Trxy19Q9ajgX3bGsHe+j3RZabfrlXArXIAOyi28y
j+0dw56xVyHlrS/0tC/tlNbXnGefZmXpbZE209lLXLp6YAXWESjFDsaNTdam6kJTGieXgyzdQT0S
eGNmk6VVNKc0Q39WDQMoOLtLglEW0d00KkLCh3RZmH4IdVS9197NoCVep2gbD/l5ELDBi7wjqTeJ
Kgplwyr2aX129PwJMhJ5MhTQx3kJl53i3zrnSlR3MreIPlG2MUP8hOdIa3xg0nbM6PexUrXNxUJr
+eIpYmQcYvq2scJEFeh60fCssNsFfp5l4ArgidqzO53RkEKUaMfPeealVPtDPAMk8Ns93bwrBuA+
XyL9gy4Kolwa8HsSQ+0cF009kMPRfcXC3GwdN8YDGDtreIUphiOiwpwWVtjeJvnwmY0FwFCfj4dy
aSaeUkwqC4rdaSJ4sEj6r2bJbrNzbbe7tQsYqmMknyNGIwfLwDpOZ7QO2tJLb3LXKDbxQqMMN8hG
ssHuSsgUYGkMIhDbUhyFdiUJLFl8dCYSIdcB8NnpSfVhx/b2XY32bnClf55LN6FRlz+FDu57t4vc
G4p1bF+Y7X8M9J5Wt6Rnbyjp7GCSY07b3Gxo98iCM2GE6ViscC9ZBUYFJwOYgK3v4jqiHBQQ1bK8
xnKwEJCqAHaedN+EpIs0ZxxwDXGOc/dNVS1YhaImkR48xS29Cir0wY6P7eJ/Ice1OEaqpVsaDbsh
m74g5Bp2go7ZDsfMh0q28dFru+iA2snaIs2+H2X41HeldW8VpJN6w6guaHGLfWt095FOnwbRGZcp
Th9nruspnAHCtSK/x2e57Gcn89kak0gJ0ug7hwxSSPg2nuJyo0ZyDgla0h/sjH7cNHBdn5ohiRyy
f3oabroTUbUz2TnbDTImLF30dDSpB/ZUabHD3rSIXRz6HIZxGPjGp6nDQL1NXBrgq2rYhF2SlZBi
50zmAPXdXkp9wKH/rLCrptvlmvLTAdpinEG7K6jQz2yAgZKDIsj3+a6vQUFQV5sHszKNeFsThfTR
wsH8sajEfHLXsKGhIXao0QZYtLFwZ0hGqLEZ92QTS39ecg3GmNCiNb5IFqyYXmY473oNN6KeS0+j
8Adrg1ILm8oyJKdiRUkQ0rVzOZrvyakmLMkcjJsO7eZjp71mD8lW7q1rvlJRsrxm9LzAiWmkDdCU
old4wJA70lV3XtM0AWNsIdNvkZpuxYL+c6oGHG7sbkh8K7u2zm094CbrzRZVHmO0wfc4L40CFwx7
28bTMQS8zsVOtWQctHUnQUEuXjcOOFb0cM7jzDgiZyV+inPZkDEqsP0HSSptH1T90iT7TNFxrjyf
cWNsDZhMo0bAcUhjIglSkV68uG2eaB5PxPw4OsGTDwWtS0JOsKgsDss1NgtVw0iElm7djqYEyVo5
wR/bsCNtq0jX4K2cL//TYiUkq3bqxsJjj2EYTiVTIdJfQEIkIfR/QAZk8pLrZRCmvLNmA5CzXg+x
VEAYPwvwoEd7DQcL15gwhIBhHEQDvv89iBGSxLqsFwFOx/4Ti/eys7hI58qXX1CUY9V1OWJu+EZJ
vsmz1dTit2SaTv2Qalguygz63mFKaTtx8VA2nScJ/IghHaj4rlZTvffXWLRpcNXRuWalob5Rl+6a
oNbRm76xVxCfz5dGovmatZaXtv5GABjhmNTcHwjDcs+hDYRuZf25tx1kbWcbRjLy7wqhrMDU7qd+
zbshBYNJYkQGTr6m4ZizEseWESp4Z3jOb1ZtMwruQAAdEsQW7CWmf5enWn83Ib3TFUzkO+tpckom
Q9JCsJ1PI8BSDUizcEmXbGBFbnsBfCHqSbnVZW89kVhi7ZQzlZuK+e2O4Zp/48/FsFM4seipjNO9
7qLpqcOsAyhomgNk3FD+AAm/6wZSMQlDlb2XCaQT7IJ1u2vMsQ+KlS1hhX2zMxyibs1RuN8QLs23
SJKWe48gyed6QjMSsJ6nUFIkKIdS5J8iKYhGI3PUP1X4tU6Jm4sTeYDonLhfz6KJnIu19FMwiZok
BBrHO2NZHauuXe906Upqf+H8D3dX99soDsT/lajvjRIIUB660qkf21wv7d5eddI+ukCLE8CpgaTc
X78/G9zGJE27taWNDvWpkPF4mBkP83nhYdrSGUrN0wVUc15crv2l93WeHRfT5xFs8WWYre8Yz1xE
CflFtXya39JHRKvn83x1Mw8C5xpKYnUOAYSwBCgCLFfQfK5ICU2Pn9AxNJ/7Fw2KMdCZedU8oTtm
CVnnk/n1Eln1F1mONk+PYZVF6cL3/rsKsnSNhP7af1hVGDuGTs0pIi1Z+DxbOc6ze7nmE9Zmkfxv
ZtB3GzknFbmQmZt/1wlvvidljdJX1ctL3P3GaFHdob9GRavmVx/aD2jwIY8CjAqRpaZ5FCRSEpl9
MDICnOs4OT1CmieS0X3k83hQf7iQFpdhYnt3+9gPh6glROIm+hLKCzkgWHCDSG+RYf8OW3ruf2bf
DloCTePTI7Ri9JFpZkYFZ4hCK2fiuogniwttljepEHhD+GBGMDM7KiDl6OCoIMYgmFFhNBy7IXJb
MIRKXvARaVSYDGGles5o3LJC+Lt4IWJ1UQmZRECiNxysRakdYPoipNvy0IPwKg9uiIaALrK5XKQP
i6vHCSEyppEviUEWhyoPsPP6bsZfVgrjoRd4aG7uInlOXJAvjREc5JKjIaJMJT8wORAT10zlwBmi
fBQMAFmQF+ipbX88RMLfyEUS6+GpgZHQ4GZqwEX3eqi6UL39nggEgjvQgQTUabkDauLAmAA53MZM
MBqehPCyo71ke/VlIECjT6R8BmATxSQHRoUA57opL4DVHcwYwCSgl132RMHDaDZMBOrMh5bsB2Qe
gImdlkHfPRRInFNkeJYVp1EFkX81klBTJ2Y4OmLGuLZ9BFxQyYfiFrclD2IhH2WCD9Doxdw8S2kW
S0OTJuUuU/OtB5SBtX2/M66kBYX6Qe3Bu2aZtGu/2qFfNOpIA3DjpjII5Trdz7sNbi+traV2pf55
RRNOeJQ28kbToXlDchirf2TknuRabAyWCt7JKyanRxqeG+z/DuBy0YMrTGtjuJj4zgodMBp42wC8
IEWpdzaGkwM6yhTlM5LRB8Z7IUgP4m0BNssYJzFTkATzoUoKxrQx1gxjXKKKRjUEtwUmgUtbyBT4
eZKRNeHJJuSTE1ErZwy5UzYD9jBAO786v9cjvyjms8CFl6A6jXUuRIUTtKIp/l8ThnC1DhnfSTh1
TCFfgeKUKjjiXWLAjahnMwU8jUmqMSBmdY0tqJApUl8LRkuFoUQZMSrYjsYoFzElPS2CahML72/K
1vrLQ8k4zEdThK+3dRPqMC3IyzUwq6NFo1CURPZBZfUPcfR87gj4i9XowN0nc+icWOCNGaGFpj06
z40pnWeENxkpYrV7QQ5MnLLxCmekLEmU1mVSVRpPY96i+MAyRp1GKX0k+tc7wmQWJHxGxUgvVmmc
jZrjsQWBmdGyFH9oFahoIImOsi9L0Bl61vRAW0GcFVWPuZ0x5hOopT4vODfJPUe1iE5tBxF3G6BX
RD+3HHSXsGA+3STrwRXJlyUGQ2qCCfji+9mUuwX8PxNeJo2CJbkEGVuWgM+SZxppxxjcoDZOdIH5
D8YXPbyFh9WYKIxj9uwZ4RgVoJ9m6Oo7trbA9nBbgBf1tqb436ZUp/gE3GIB7CKDRaJ/1aCIP7Sg
ZG958th3kMKxY47zN0xNLJtsRXqfCUjEEI4XU0p/T1mcDKbl1tnWejRMwf8jhyDvYkQxBtnCK20X
2GZENWVZRow+r3H3zqw0hv3GvBxDuG81NDIE+2/Cc5xsiuWElu0cPqZMsjMR13OFR80U9P5WLoYU
eTeL2BQ+LSNWlFSz3FxfFocbEwZVwehxoygs36YfOu+embs8TS8xym3/k4o97vqZ7lwTT0RZQviX
nwAAAP//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23811</xdr:colOff>
      <xdr:row>1</xdr:row>
      <xdr:rowOff>171449</xdr:rowOff>
    </xdr:from>
    <xdr:to>
      <xdr:col>21</xdr:col>
      <xdr:colOff>276225</xdr:colOff>
      <xdr:row>23</xdr:row>
      <xdr:rowOff>161925</xdr:rowOff>
    </xdr:to>
    <xdr:graphicFrame macro="">
      <xdr:nvGraphicFramePr>
        <xdr:cNvPr id="2" name="Chart 1">
          <a:extLst>
            <a:ext uri="{FF2B5EF4-FFF2-40B4-BE49-F238E27FC236}">
              <a16:creationId xmlns:a16="http://schemas.microsoft.com/office/drawing/2014/main" id="{50C84211-82B3-3BDC-7870-55A6526A1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533400</xdr:colOff>
      <xdr:row>2</xdr:row>
      <xdr:rowOff>9525</xdr:rowOff>
    </xdr:from>
    <xdr:to>
      <xdr:col>31</xdr:col>
      <xdr:colOff>371475</xdr:colOff>
      <xdr:row>23</xdr:row>
      <xdr:rowOff>142875</xdr:rowOff>
    </xdr:to>
    <xdr:graphicFrame macro="">
      <xdr:nvGraphicFramePr>
        <xdr:cNvPr id="3" name="Chart 2">
          <a:extLst>
            <a:ext uri="{FF2B5EF4-FFF2-40B4-BE49-F238E27FC236}">
              <a16:creationId xmlns:a16="http://schemas.microsoft.com/office/drawing/2014/main" id="{8850E0C8-6DE2-4B16-8975-05D8EEDF7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190500</xdr:colOff>
      <xdr:row>26</xdr:row>
      <xdr:rowOff>47624</xdr:rowOff>
    </xdr:from>
    <xdr:to>
      <xdr:col>13</xdr:col>
      <xdr:colOff>219075</xdr:colOff>
      <xdr:row>48</xdr:row>
      <xdr:rowOff>59348</xdr:rowOff>
    </xdr:to>
    <mc:AlternateContent xmlns:mc="http://schemas.openxmlformats.org/markup-compatibility/2006">
      <mc:Choice xmlns:a14="http://schemas.microsoft.com/office/drawing/2010/main" Requires="a14">
        <xdr:graphicFrame macro="">
          <xdr:nvGraphicFramePr>
            <xdr:cNvPr id="4" name="States">
              <a:extLst>
                <a:ext uri="{FF2B5EF4-FFF2-40B4-BE49-F238E27FC236}">
                  <a16:creationId xmlns:a16="http://schemas.microsoft.com/office/drawing/2014/main" id="{B622DFE8-7613-7440-3AC7-E5FFC94591E6}"/>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dr:sp macro="" textlink="">
          <xdr:nvSpPr>
            <xdr:cNvPr id="0" name=""/>
            <xdr:cNvSpPr>
              <a:spLocks noTextEdit="1"/>
            </xdr:cNvSpPr>
          </xdr:nvSpPr>
          <xdr:spPr>
            <a:xfrm>
              <a:off x="3231173" y="5000624"/>
              <a:ext cx="3692037" cy="4210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23811</xdr:colOff>
      <xdr:row>26</xdr:row>
      <xdr:rowOff>19050</xdr:rowOff>
    </xdr:from>
    <xdr:to>
      <xdr:col>23</xdr:col>
      <xdr:colOff>76199</xdr:colOff>
      <xdr:row>43</xdr:row>
      <xdr:rowOff>114300</xdr:rowOff>
    </xdr:to>
    <xdr:graphicFrame macro="">
      <xdr:nvGraphicFramePr>
        <xdr:cNvPr id="5" name="Chart 4">
          <a:extLst>
            <a:ext uri="{FF2B5EF4-FFF2-40B4-BE49-F238E27FC236}">
              <a16:creationId xmlns:a16="http://schemas.microsoft.com/office/drawing/2014/main" id="{D15976C1-057E-ED57-E259-AFD9E6DBC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586885</xdr:colOff>
      <xdr:row>25</xdr:row>
      <xdr:rowOff>184638</xdr:rowOff>
    </xdr:from>
    <xdr:to>
      <xdr:col>31</xdr:col>
      <xdr:colOff>366345</xdr:colOff>
      <xdr:row>44</xdr:row>
      <xdr:rowOff>80596</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D20C70E5-4055-74DC-3263-CF7C596116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830173" y="4947138"/>
              <a:ext cx="6608153" cy="35154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476249</xdr:colOff>
      <xdr:row>1</xdr:row>
      <xdr:rowOff>0</xdr:rowOff>
    </xdr:from>
    <xdr:to>
      <xdr:col>18</xdr:col>
      <xdr:colOff>238124</xdr:colOff>
      <xdr:row>68</xdr:row>
      <xdr:rowOff>0</xdr:rowOff>
    </xdr:to>
    <xdr:graphicFrame macro="">
      <xdr:nvGraphicFramePr>
        <xdr:cNvPr id="10" name="Chart 9">
          <a:extLst>
            <a:ext uri="{FF2B5EF4-FFF2-40B4-BE49-F238E27FC236}">
              <a16:creationId xmlns:a16="http://schemas.microsoft.com/office/drawing/2014/main" id="{58753B62-00F9-C60E-31F2-FBE6B06CE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 Urena" refreshedDate="46153.597492824076" createdVersion="8" refreshedVersion="8" minRefreshableVersion="3" recordCount="14" xr:uid="{55166D1C-1B84-4A5B-9E6B-37B48DDA4E54}">
  <cacheSource type="worksheet">
    <worksheetSource name="TotalHomelessVA"/>
  </cacheSource>
  <cacheFields count="57">
    <cacheField name="Year" numFmtId="0">
      <sharedItems containsSemiMixedTypes="0" containsString="0" containsNumber="1" containsInteger="1" minValue="2011" maxValue="2024" count="14">
        <n v="2011"/>
        <n v="2012"/>
        <n v="2013"/>
        <n v="2014"/>
        <n v="2015"/>
        <n v="2016"/>
        <n v="2017"/>
        <n v="2018"/>
        <n v="2019"/>
        <n v="2020"/>
        <n v="2021"/>
        <n v="2022"/>
        <n v="2023"/>
        <n v="2024"/>
      </sharedItems>
    </cacheField>
    <cacheField name="AK" numFmtId="0">
      <sharedItems containsSemiMixedTypes="0" containsString="0" containsNumber="1" containsInteger="1" minValue="36" maxValue="288" count="14">
        <n v="288"/>
        <n v="256"/>
        <n v="210"/>
        <n v="178"/>
        <n v="180"/>
        <n v="168"/>
        <n v="124"/>
        <n v="132"/>
        <n v="111"/>
        <n v="94"/>
        <n v="36"/>
        <n v="134"/>
        <n v="119"/>
        <n v="106"/>
      </sharedItems>
    </cacheField>
    <cacheField name="AL" numFmtId="0">
      <sharedItems containsSemiMixedTypes="0" containsString="0" containsNumber="1" containsInteger="1" minValue="241" maxValue="659" count="13">
        <n v="659"/>
        <n v="526"/>
        <n v="511"/>
        <n v="542"/>
        <n v="474"/>
        <n v="373"/>
        <n v="269"/>
        <n v="339"/>
        <n v="292"/>
        <n v="329"/>
        <n v="241"/>
        <n v="308"/>
        <n v="291"/>
      </sharedItems>
    </cacheField>
    <cacheField name="AR" numFmtId="0">
      <sharedItems containsSemiMixedTypes="0" containsString="0" containsNumber="1" containsInteger="1" minValue="92" maxValue="462"/>
    </cacheField>
    <cacheField name="AS" numFmtId="0">
      <sharedItems/>
    </cacheField>
    <cacheField name="AZ" numFmtId="0">
      <sharedItems containsSemiMixedTypes="0" containsString="0" containsNumber="1" containsInteger="1" minValue="637" maxValue="1528"/>
    </cacheField>
    <cacheField name="CA" numFmtId="0">
      <sharedItems containsSemiMixedTypes="0" containsString="0" containsNumber="1" containsInteger="1" minValue="3351" maxValue="16783" count="14">
        <n v="16783"/>
        <n v="14611"/>
        <n v="12895"/>
        <n v="12096"/>
        <n v="11311"/>
        <n v="9612"/>
        <n v="11436"/>
        <n v="10836"/>
        <n v="10980"/>
        <n v="11401"/>
        <n v="3351"/>
        <n v="10395"/>
        <n v="10589"/>
        <n v="9310"/>
      </sharedItems>
    </cacheField>
    <cacheField name="CO" numFmtId="0">
      <sharedItems containsSemiMixedTypes="0" containsString="0" containsNumber="1" containsInteger="1" minValue="642" maxValue="2074"/>
    </cacheField>
    <cacheField name="CT" numFmtId="0">
      <sharedItems containsSemiMixedTypes="0" containsString="0" containsNumber="1" containsInteger="1" minValue="125" maxValue="443"/>
    </cacheField>
    <cacheField name="DC" numFmtId="0">
      <sharedItems containsSemiMixedTypes="0" containsString="0" containsNumber="1" containsInteger="1" minValue="187" maxValue="531"/>
    </cacheField>
    <cacheField name="DE" numFmtId="0">
      <sharedItems containsSemiMixedTypes="0" containsString="0" containsNumber="1" containsInteger="1" minValue="55" maxValue="107"/>
    </cacheField>
    <cacheField name="FL" numFmtId="0">
      <sharedItems containsSemiMixedTypes="0" containsString="0" containsNumber="1" containsInteger="1" minValue="2011" maxValue="5644" count="14">
        <n v="5644"/>
        <n v="5331"/>
        <n v="5505"/>
        <n v="4552"/>
        <n v="3926"/>
        <n v="2902"/>
        <n v="2817"/>
        <n v="2543"/>
        <n v="2472"/>
        <n v="2436"/>
        <n v="2011"/>
        <n v="2279"/>
        <n v="2558"/>
        <n v="2333"/>
      </sharedItems>
    </cacheField>
    <cacheField name="GA" numFmtId="0">
      <sharedItems containsSemiMixedTypes="0" containsString="0" containsNumber="1" containsInteger="1" minValue="297" maxValue="2297"/>
    </cacheField>
    <cacheField name="GU" numFmtId="0">
      <sharedItems containsSemiMixedTypes="0" containsString="0" containsNumber="1" containsInteger="1" minValue="12" maxValue="36"/>
    </cacheField>
    <cacheField name="HI" numFmtId="0">
      <sharedItems containsSemiMixedTypes="0" containsString="0" containsNumber="1" containsInteger="1" minValue="153" maxValue="692"/>
    </cacheField>
    <cacheField name="IA" numFmtId="0">
      <sharedItems containsSemiMixedTypes="0" containsString="0" containsNumber="1" containsInteger="1" minValue="120" maxValue="267"/>
    </cacheField>
    <cacheField name="ID" numFmtId="0">
      <sharedItems containsSemiMixedTypes="0" containsString="0" containsNumber="1" containsInteger="1" minValue="128" maxValue="267"/>
    </cacheField>
    <cacheField name="IL" numFmtId="0">
      <sharedItems containsSemiMixedTypes="0" containsString="0" containsNumber="1" containsInteger="1" minValue="402" maxValue="1267"/>
    </cacheField>
    <cacheField name="IN" numFmtId="0">
      <sharedItems containsSemiMixedTypes="0" containsString="0" containsNumber="1" containsInteger="1" minValue="422" maxValue="790"/>
    </cacheField>
    <cacheField name="KS" numFmtId="0">
      <sharedItems containsSemiMixedTypes="0" containsString="0" containsNumber="1" containsInteger="1" minValue="169" maxValue="414"/>
    </cacheField>
    <cacheField name="KY" numFmtId="0">
      <sharedItems containsSemiMixedTypes="0" containsString="0" containsNumber="1" containsInteger="1" minValue="266" maxValue="636"/>
    </cacheField>
    <cacheField name="LA" numFmtId="0">
      <sharedItems containsSemiMixedTypes="0" containsString="0" containsNumber="1" containsInteger="1" minValue="223" maxValue="950"/>
    </cacheField>
    <cacheField name="MA" numFmtId="0">
      <sharedItems containsSemiMixedTypes="0" containsString="0" containsNumber="1" containsInteger="1" minValue="534" maxValue="1268"/>
    </cacheField>
    <cacheField name="MD" numFmtId="0">
      <sharedItems containsSemiMixedTypes="0" containsString="0" containsNumber="1" containsInteger="1" minValue="281" maxValue="714"/>
    </cacheField>
    <cacheField name="ME" numFmtId="0">
      <sharedItems containsSemiMixedTypes="0" containsString="0" containsNumber="1" containsInteger="1" minValue="91" maxValue="243"/>
    </cacheField>
    <cacheField name="MI" numFmtId="0">
      <sharedItems containsSemiMixedTypes="0" containsString="0" containsNumber="1" containsInteger="1" minValue="456" maxValue="1122"/>
    </cacheField>
    <cacheField name="MN" numFmtId="0">
      <sharedItems containsSemiMixedTypes="0" containsString="0" containsNumber="1" containsInteger="1" minValue="279" maxValue="449"/>
    </cacheField>
    <cacheField name="MO" numFmtId="0">
      <sharedItems containsSemiMixedTypes="0" containsString="0" containsNumber="1" containsInteger="1" minValue="352" maxValue="899"/>
    </cacheField>
    <cacheField name="MP" numFmtId="0">
      <sharedItems containsMixedTypes="1" containsNumber="1" containsInteger="1" minValue="0" maxValue="9"/>
    </cacheField>
    <cacheField name="MS" numFmtId="0">
      <sharedItems containsSemiMixedTypes="0" containsString="0" containsNumber="1" containsInteger="1" minValue="31" maxValue="279"/>
    </cacheField>
    <cacheField name="MT" numFmtId="0">
      <sharedItems containsSemiMixedTypes="0" containsString="0" containsNumber="1" containsInteger="1" minValue="110" maxValue="323"/>
    </cacheField>
    <cacheField name="NC" numFmtId="0">
      <sharedItems containsSemiMixedTypes="0" containsString="0" containsNumber="1" containsInteger="1" minValue="687" maxValue="1413"/>
    </cacheField>
    <cacheField name="ND" numFmtId="0">
      <sharedItems containsSemiMixedTypes="0" containsString="0" containsNumber="1" containsInteger="1" minValue="9" maxValue="241"/>
    </cacheField>
    <cacheField name="NE" numFmtId="0">
      <sharedItems containsSemiMixedTypes="0" containsString="0" containsNumber="1" containsInteger="1" minValue="129" maxValue="310"/>
    </cacheField>
    <cacheField name="NH" numFmtId="0">
      <sharedItems containsSemiMixedTypes="0" containsString="0" containsNumber="1" containsInteger="1" minValue="100" maxValue="171"/>
    </cacheField>
    <cacheField name="NJ" numFmtId="0">
      <sharedItems containsSemiMixedTypes="0" containsString="0" containsNumber="1" containsInteger="1" minValue="438" maxValue="811"/>
    </cacheField>
    <cacheField name="NM" numFmtId="0">
      <sharedItems containsSemiMixedTypes="0" containsString="0" containsNumber="1" containsInteger="1" minValue="91" maxValue="364"/>
    </cacheField>
    <cacheField name="NV" numFmtId="0">
      <sharedItems containsSemiMixedTypes="0" containsString="0" containsNumber="1" containsInteger="1" minValue="644" maxValue="1240"/>
    </cacheField>
    <cacheField name="NY" numFmtId="0">
      <sharedItems containsSemiMixedTypes="0" containsString="0" containsNumber="1" containsInteger="1" minValue="990" maxValue="5765"/>
    </cacheField>
    <cacheField name="OH" numFmtId="0">
      <sharedItems containsSemiMixedTypes="0" containsString="0" containsNumber="1" containsInteger="1" minValue="505" maxValue="1279"/>
    </cacheField>
    <cacheField name="OK" numFmtId="0">
      <sharedItems containsSemiMixedTypes="0" containsString="0" containsNumber="1" containsInteger="1" minValue="199" maxValue="437"/>
    </cacheField>
    <cacheField name="OR" numFmtId="0">
      <sharedItems containsSemiMixedTypes="0" containsString="0" containsNumber="1" containsInteger="1" minValue="1000" maxValue="1575"/>
    </cacheField>
    <cacheField name="PA" numFmtId="0">
      <sharedItems containsSemiMixedTypes="0" containsString="0" containsNumber="1" containsInteger="1" minValue="719" maxValue="1462"/>
    </cacheField>
    <cacheField name="PR" numFmtId="0">
      <sharedItems containsSemiMixedTypes="0" containsString="0" containsNumber="1" containsInteger="1" minValue="5" maxValue="164"/>
    </cacheField>
    <cacheField name="RI" numFmtId="0">
      <sharedItems containsSemiMixedTypes="0" containsString="0" containsNumber="1" containsInteger="1" minValue="89" maxValue="130"/>
    </cacheField>
    <cacheField name="SC" numFmtId="0">
      <sharedItems containsSemiMixedTypes="0" containsString="0" containsNumber="1" containsInteger="1" minValue="309" maxValue="738"/>
    </cacheField>
    <cacheField name="SD" numFmtId="0">
      <sharedItems containsSemiMixedTypes="0" containsString="0" containsNumber="1" containsInteger="1" minValue="31" maxValue="177"/>
    </cacheField>
    <cacheField name="TN" numFmtId="0">
      <sharedItems containsSemiMixedTypes="0" containsString="0" containsNumber="1" containsInteger="1" minValue="549" maxValue="1285"/>
    </cacheField>
    <cacheField name="TX" numFmtId="0">
      <sharedItems containsSemiMixedTypes="0" containsString="0" containsNumber="1" containsInteger="1" minValue="1279" maxValue="4891"/>
    </cacheField>
    <cacheField name="UT" numFmtId="0">
      <sharedItems containsSemiMixedTypes="0" containsString="0" containsNumber="1" containsInteger="1" minValue="114" maxValue="345"/>
    </cacheField>
    <cacheField name="VA" numFmtId="0">
      <sharedItems containsSemiMixedTypes="0" containsString="0" containsNumber="1" containsInteger="1" minValue="348" maxValue="931"/>
    </cacheField>
    <cacheField name="VI" numFmtId="0">
      <sharedItems containsSemiMixedTypes="0" containsString="0" containsNumber="1" containsInteger="1" minValue="6" maxValue="34"/>
    </cacheField>
    <cacheField name="VT" numFmtId="0">
      <sharedItems containsSemiMixedTypes="0" containsString="0" containsNumber="1" containsInteger="1" minValue="71" maxValue="128"/>
    </cacheField>
    <cacheField name="WA" numFmtId="0">
      <sharedItems containsSemiMixedTypes="0" containsString="0" containsNumber="1" containsInteger="1" minValue="832" maxValue="2093"/>
    </cacheField>
    <cacheField name="WI" numFmtId="0">
      <sharedItems containsSemiMixedTypes="0" containsString="0" containsNumber="1" containsInteger="1" minValue="297" maxValue="607"/>
    </cacheField>
    <cacheField name="WV" numFmtId="0">
      <sharedItems containsSemiMixedTypes="0" containsString="0" containsNumber="1" containsInteger="1" minValue="91" maxValue="333"/>
    </cacheField>
    <cacheField name="WY" numFmtId="0">
      <sharedItems containsSemiMixedTypes="0" containsString="0" containsNumber="1" containsInteger="1" minValue="19" maxValue="31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 Urena" refreshedDate="46153.64553263889" createdVersion="8" refreshedVersion="8" minRefreshableVersion="3" recordCount="56" xr:uid="{DBEF6269-9346-4BE4-93FB-9C9C2454C38C}">
  <cacheSource type="worksheet">
    <worksheetSource name="TotalHomelessVA_Transpose"/>
  </cacheSource>
  <cacheFields count="15">
    <cacheField name="States" numFmtId="0">
      <sharedItems count="56">
        <s v="AK"/>
        <s v="AL"/>
        <s v="AR"/>
        <s v="AS"/>
        <s v="AZ"/>
        <s v="CA"/>
        <s v="CO"/>
        <s v="CT"/>
        <s v="DC"/>
        <s v="DE"/>
        <s v="FL"/>
        <s v="GA"/>
        <s v="GU"/>
        <s v="HI"/>
        <s v="IA"/>
        <s v="ID"/>
        <s v="IL"/>
        <s v="IN"/>
        <s v="KS"/>
        <s v="KY"/>
        <s v="LA"/>
        <s v="MA"/>
        <s v="MD"/>
        <s v="ME"/>
        <s v="MI"/>
        <s v="MN"/>
        <s v="MO"/>
        <s v="MP"/>
        <s v="MS"/>
        <s v="MT"/>
        <s v="NC"/>
        <s v="ND"/>
        <s v="NE"/>
        <s v="NH"/>
        <s v="NJ"/>
        <s v="NM"/>
        <s v="NV"/>
        <s v="NY"/>
        <s v="OH"/>
        <s v="OK"/>
        <s v="OR"/>
        <s v="PA"/>
        <s v="PR"/>
        <s v="RI"/>
        <s v="SC"/>
        <s v="SD"/>
        <s v="TN"/>
        <s v="TX"/>
        <s v="UT"/>
        <s v="VA"/>
        <s v="VI"/>
        <s v="VT"/>
        <s v="WA"/>
        <s v="WI"/>
        <s v="WV"/>
        <s v="WY"/>
      </sharedItems>
    </cacheField>
    <cacheField name="2011" numFmtId="0">
      <sharedItems containsMixedTypes="1" containsNumber="1" containsInteger="1" minValue="32" maxValue="16783"/>
    </cacheField>
    <cacheField name="2012" numFmtId="0">
      <sharedItems containsMixedTypes="1" containsNumber="1" containsInteger="1" minValue="31" maxValue="14611"/>
    </cacheField>
    <cacheField name="2013" numFmtId="0">
      <sharedItems containsMixedTypes="1" containsNumber="1" containsInteger="1" minValue="32" maxValue="12895"/>
    </cacheField>
    <cacheField name="2014" numFmtId="0">
      <sharedItems containsMixedTypes="1" containsNumber="1" containsInteger="1" minValue="32" maxValue="12096"/>
    </cacheField>
    <cacheField name="2015" numFmtId="0">
      <sharedItems containsMixedTypes="1" containsNumber="1" containsInteger="1" minValue="23" maxValue="11311"/>
    </cacheField>
    <cacheField name="2016" numFmtId="0">
      <sharedItems containsMixedTypes="1" containsNumber="1" containsInteger="1" minValue="21" maxValue="9612"/>
    </cacheField>
    <cacheField name="2017" numFmtId="0">
      <sharedItems containsMixedTypes="1" containsNumber="1" containsInteger="1" minValue="0" maxValue="11436"/>
    </cacheField>
    <cacheField name="2018" numFmtId="0">
      <sharedItems containsMixedTypes="1" containsNumber="1" containsInteger="1" minValue="0" maxValue="10836"/>
    </cacheField>
    <cacheField name="2019" numFmtId="0">
      <sharedItems containsMixedTypes="1" containsNumber="1" containsInteger="1" minValue="4" maxValue="10980"/>
    </cacheField>
    <cacheField name="2020" numFmtId="0">
      <sharedItems containsMixedTypes="1" containsNumber="1" containsInteger="1" minValue="9" maxValue="11401"/>
    </cacheField>
    <cacheField name="2021" numFmtId="0">
      <sharedItems containsMixedTypes="1" containsNumber="1" containsInteger="1" minValue="0" maxValue="3351"/>
    </cacheField>
    <cacheField name="2022" numFmtId="0">
      <sharedItems containsMixedTypes="1" containsNumber="1" containsInteger="1" minValue="6" maxValue="10395"/>
    </cacheField>
    <cacheField name="2023" numFmtId="0">
      <sharedItems containsMixedTypes="1" containsNumber="1" containsInteger="1" minValue="9" maxValue="10589"/>
    </cacheField>
    <cacheField name="2024" numFmtId="0">
      <sharedItems containsMixedTypes="1" containsNumber="1" containsInteger="1" minValue="9" maxValue="9310" count="55">
        <n v="106"/>
        <n v="291"/>
        <n v="226"/>
        <s v="."/>
        <n v="994"/>
        <n v="9310"/>
        <n v="978"/>
        <n v="174"/>
        <n v="213"/>
        <n v="89"/>
        <n v="2333"/>
        <n v="646"/>
        <n v="32"/>
        <n v="283"/>
        <n v="135"/>
        <n v="209"/>
        <n v="559"/>
        <n v="422"/>
        <n v="211"/>
        <n v="391"/>
        <n v="223"/>
        <n v="550"/>
        <n v="312"/>
        <n v="115"/>
        <n v="456"/>
        <n v="299"/>
        <n v="513"/>
        <n v="40"/>
        <n v="168"/>
        <n v="688"/>
        <n v="44"/>
        <n v="129"/>
        <n v="128"/>
        <n v="521"/>
        <n v="298"/>
        <n v="644"/>
        <n v="1180"/>
        <n v="589"/>
        <n v="304"/>
        <n v="1407"/>
        <n v="719"/>
        <n v="59"/>
        <n v="130"/>
        <n v="388"/>
        <n v="42"/>
        <n v="570"/>
        <n v="1837"/>
        <n v="121"/>
        <n v="389"/>
        <n v="9"/>
        <n v="108"/>
        <n v="1780"/>
        <n v="351"/>
        <n v="132"/>
        <n v="37"/>
      </sharedItems>
    </cacheField>
  </cacheFields>
  <extLst>
    <ext xmlns:x14="http://schemas.microsoft.com/office/spreadsheetml/2009/9/main" uri="{725AE2AE-9491-48be-B2B4-4EB974FC3084}">
      <x14:pivotCacheDefinition pivotCacheId="1583393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n v="411"/>
    <s v="."/>
    <n v="1528"/>
    <x v="0"/>
    <n v="2074"/>
    <n v="443"/>
    <n v="515"/>
    <n v="55"/>
    <x v="0"/>
    <n v="2243"/>
    <n v="33"/>
    <n v="505"/>
    <n v="267"/>
    <n v="250"/>
    <n v="1081"/>
    <n v="714"/>
    <n v="384"/>
    <n v="636"/>
    <n v="950"/>
    <n v="1268"/>
    <n v="696"/>
    <n v="127"/>
    <n v="959"/>
    <n v="449"/>
    <n v="852"/>
    <s v="."/>
    <n v="205"/>
    <n v="251"/>
    <n v="1248"/>
    <n v="124"/>
    <n v="310"/>
    <n v="126"/>
    <n v="811"/>
    <n v="364"/>
    <n v="1240"/>
    <n v="5765"/>
    <n v="1279"/>
    <n v="356"/>
    <n v="1474"/>
    <n v="1392"/>
    <n v="137"/>
    <n v="123"/>
    <n v="612"/>
    <n v="109"/>
    <n v="965"/>
    <n v="4891"/>
    <n v="345"/>
    <n v="931"/>
    <n v="32"/>
    <n v="81"/>
    <n v="1478"/>
    <n v="607"/>
    <n v="302"/>
    <n v="83"/>
  </r>
  <r>
    <x v="1"/>
    <x v="1"/>
    <x v="1"/>
    <n v="362"/>
    <s v="."/>
    <n v="1478"/>
    <x v="1"/>
    <n v="1512"/>
    <n v="332"/>
    <n v="531"/>
    <n v="66"/>
    <x v="1"/>
    <n v="2297"/>
    <n v="31"/>
    <n v="507"/>
    <n v="217"/>
    <n v="260"/>
    <n v="1147"/>
    <n v="687"/>
    <n v="373"/>
    <n v="440"/>
    <n v="899"/>
    <n v="1181"/>
    <n v="617"/>
    <n v="116"/>
    <n v="1017"/>
    <n v="309"/>
    <n v="899"/>
    <s v="."/>
    <n v="244"/>
    <n v="323"/>
    <n v="1413"/>
    <n v="160"/>
    <n v="249"/>
    <n v="127"/>
    <n v="592"/>
    <n v="345"/>
    <n v="1229"/>
    <n v="4961"/>
    <n v="1244"/>
    <n v="404"/>
    <n v="1356"/>
    <n v="1456"/>
    <n v="116"/>
    <n v="96"/>
    <n v="543"/>
    <n v="124"/>
    <n v="1285"/>
    <n v="4364"/>
    <n v="330"/>
    <n v="881"/>
    <n v="33"/>
    <n v="109"/>
    <n v="1475"/>
    <n v="539"/>
    <n v="268"/>
    <n v="311"/>
  </r>
  <r>
    <x v="2"/>
    <x v="2"/>
    <x v="2"/>
    <n v="462"/>
    <s v="."/>
    <n v="1222"/>
    <x v="2"/>
    <n v="685"/>
    <n v="341"/>
    <n v="499"/>
    <n v="89"/>
    <x v="2"/>
    <n v="1805"/>
    <n v="32"/>
    <n v="558"/>
    <n v="229"/>
    <n v="208"/>
    <n v="1267"/>
    <n v="743"/>
    <n v="414"/>
    <n v="607"/>
    <n v="575"/>
    <n v="1253"/>
    <n v="673"/>
    <n v="164"/>
    <n v="1100"/>
    <n v="349"/>
    <n v="843"/>
    <s v="."/>
    <n v="210"/>
    <n v="309"/>
    <n v="1123"/>
    <n v="241"/>
    <n v="183"/>
    <n v="125"/>
    <n v="540"/>
    <n v="243"/>
    <n v="790"/>
    <n v="4659"/>
    <n v="1212"/>
    <n v="437"/>
    <n v="1494"/>
    <n v="1462"/>
    <n v="82"/>
    <n v="97"/>
    <n v="636"/>
    <n v="125"/>
    <n v="991"/>
    <n v="3878"/>
    <n v="327"/>
    <n v="719"/>
    <n v="33"/>
    <n v="128"/>
    <n v="1318"/>
    <n v="552"/>
    <n v="329"/>
    <n v="137"/>
  </r>
  <r>
    <x v="3"/>
    <x v="3"/>
    <x v="3"/>
    <n v="361"/>
    <s v="."/>
    <n v="858"/>
    <x v="3"/>
    <n v="753"/>
    <n v="295"/>
    <n v="406"/>
    <n v="93"/>
    <x v="3"/>
    <n v="1443"/>
    <n v="36"/>
    <n v="593"/>
    <n v="202"/>
    <n v="215"/>
    <n v="1234"/>
    <n v="725"/>
    <n v="393"/>
    <n v="600"/>
    <n v="437"/>
    <n v="1264"/>
    <n v="654"/>
    <n v="152"/>
    <n v="1122"/>
    <n v="317"/>
    <n v="652"/>
    <s v="."/>
    <n v="279"/>
    <n v="256"/>
    <n v="1164"/>
    <n v="151"/>
    <n v="241"/>
    <n v="171"/>
    <n v="630"/>
    <n v="318"/>
    <n v="1036"/>
    <n v="2542"/>
    <n v="1236"/>
    <n v="408"/>
    <n v="1292"/>
    <n v="1411"/>
    <n v="87"/>
    <n v="108"/>
    <n v="703"/>
    <n v="132"/>
    <n v="1142"/>
    <n v="2718"/>
    <n v="317"/>
    <n v="620"/>
    <n v="32"/>
    <n v="120"/>
    <n v="1433"/>
    <n v="520"/>
    <n v="333"/>
    <n v="116"/>
  </r>
  <r>
    <x v="4"/>
    <x v="4"/>
    <x v="4"/>
    <n v="456"/>
    <s v="."/>
    <n v="1220"/>
    <x v="4"/>
    <n v="950"/>
    <n v="282"/>
    <n v="408"/>
    <n v="79"/>
    <x v="4"/>
    <n v="1548"/>
    <n v="23"/>
    <n v="692"/>
    <n v="207"/>
    <n v="249"/>
    <n v="1226"/>
    <n v="790"/>
    <n v="311"/>
    <n v="591"/>
    <n v="392"/>
    <n v="1133"/>
    <n v="714"/>
    <n v="151"/>
    <n v="1067"/>
    <n v="297"/>
    <n v="540"/>
    <s v="."/>
    <n v="206"/>
    <n v="277"/>
    <n v="1092"/>
    <n v="137"/>
    <n v="247"/>
    <n v="138"/>
    <n v="696"/>
    <n v="278"/>
    <n v="860"/>
    <n v="2399"/>
    <n v="1183"/>
    <n v="351"/>
    <n v="1464"/>
    <n v="1375"/>
    <n v="164"/>
    <n v="107"/>
    <n v="681"/>
    <n v="177"/>
    <n v="945"/>
    <n v="2393"/>
    <n v="337"/>
    <n v="604"/>
    <n v="34"/>
    <n v="119"/>
    <n v="1293"/>
    <n v="534"/>
    <n v="305"/>
    <n v="112"/>
  </r>
  <r>
    <x v="5"/>
    <x v="5"/>
    <x v="5"/>
    <n v="222"/>
    <s v="."/>
    <n v="1036"/>
    <x v="5"/>
    <n v="1181"/>
    <n v="216"/>
    <n v="350"/>
    <n v="107"/>
    <x v="5"/>
    <n v="1055"/>
    <n v="21"/>
    <n v="670"/>
    <n v="170"/>
    <n v="267"/>
    <n v="949"/>
    <n v="663"/>
    <n v="169"/>
    <n v="512"/>
    <n v="400"/>
    <n v="949"/>
    <n v="555"/>
    <n v="146"/>
    <n v="822"/>
    <n v="279"/>
    <n v="575"/>
    <s v="."/>
    <n v="144"/>
    <n v="165"/>
    <n v="888"/>
    <n v="116"/>
    <n v="219"/>
    <n v="123"/>
    <n v="556"/>
    <n v="214"/>
    <n v="851"/>
    <n v="1248"/>
    <n v="930"/>
    <n v="358"/>
    <n v="1341"/>
    <n v="1136"/>
    <n v="146"/>
    <n v="89"/>
    <n v="738"/>
    <n v="120"/>
    <n v="831"/>
    <n v="1768"/>
    <n v="335"/>
    <n v="515"/>
    <n v="32"/>
    <n v="110"/>
    <n v="1484"/>
    <n v="415"/>
    <n v="143"/>
    <n v="87"/>
  </r>
  <r>
    <x v="6"/>
    <x v="6"/>
    <x v="6"/>
    <n v="239"/>
    <s v="."/>
    <n v="970"/>
    <x v="6"/>
    <n v="1078"/>
    <n v="191"/>
    <n v="285"/>
    <n v="91"/>
    <x v="6"/>
    <n v="712"/>
    <n v="24"/>
    <n v="615"/>
    <n v="171"/>
    <n v="228"/>
    <n v="864"/>
    <n v="615"/>
    <n v="217"/>
    <n v="489"/>
    <n v="383"/>
    <n v="853"/>
    <n v="536"/>
    <n v="131"/>
    <n v="773"/>
    <n v="281"/>
    <n v="538"/>
    <n v="0"/>
    <n v="57"/>
    <n v="205"/>
    <n v="931"/>
    <n v="74"/>
    <n v="174"/>
    <n v="124"/>
    <n v="583"/>
    <n v="248"/>
    <n v="832"/>
    <n v="1244"/>
    <n v="862"/>
    <n v="349"/>
    <n v="1251"/>
    <n v="963"/>
    <n v="94"/>
    <n v="95"/>
    <n v="480"/>
    <n v="130"/>
    <n v="757"/>
    <n v="2200"/>
    <n v="220"/>
    <n v="478"/>
    <n v="23"/>
    <n v="94"/>
    <n v="2093"/>
    <n v="329"/>
    <n v="137"/>
    <n v="63"/>
  </r>
  <r>
    <x v="7"/>
    <x v="7"/>
    <x v="7"/>
    <n v="251"/>
    <s v="."/>
    <n v="893"/>
    <x v="7"/>
    <n v="1073"/>
    <n v="190"/>
    <n v="306"/>
    <n v="70"/>
    <x v="7"/>
    <n v="705"/>
    <n v="14"/>
    <n v="532"/>
    <n v="196"/>
    <n v="215"/>
    <n v="804"/>
    <n v="539"/>
    <n v="195"/>
    <n v="369"/>
    <n v="406"/>
    <n v="985"/>
    <n v="574"/>
    <n v="119"/>
    <n v="693"/>
    <n v="301"/>
    <n v="507"/>
    <n v="0"/>
    <n v="102"/>
    <n v="198"/>
    <n v="884"/>
    <n v="9"/>
    <n v="171"/>
    <n v="143"/>
    <n v="555"/>
    <n v="290"/>
    <n v="723"/>
    <n v="1224"/>
    <n v="749"/>
    <n v="313"/>
    <n v="1363"/>
    <n v="982"/>
    <n v="82"/>
    <n v="103"/>
    <n v="415"/>
    <n v="110"/>
    <n v="742"/>
    <n v="1935"/>
    <n v="239"/>
    <n v="485"/>
    <n v="24"/>
    <n v="104"/>
    <n v="1636"/>
    <n v="332"/>
    <n v="131"/>
    <n v="47"/>
  </r>
  <r>
    <x v="8"/>
    <x v="8"/>
    <x v="8"/>
    <n v="238"/>
    <s v="."/>
    <n v="910"/>
    <x v="8"/>
    <n v="1068"/>
    <n v="195"/>
    <n v="297"/>
    <n v="65"/>
    <x v="8"/>
    <n v="801"/>
    <n v="23"/>
    <n v="505"/>
    <n v="149"/>
    <n v="201"/>
    <n v="690"/>
    <n v="572"/>
    <n v="189"/>
    <n v="447"/>
    <n v="360"/>
    <n v="917"/>
    <n v="490"/>
    <n v="116"/>
    <n v="599"/>
    <n v="297"/>
    <n v="488"/>
    <n v="4"/>
    <n v="72"/>
    <n v="205"/>
    <n v="907"/>
    <n v="49"/>
    <n v="175"/>
    <n v="113"/>
    <n v="551"/>
    <n v="257"/>
    <n v="674"/>
    <n v="1270"/>
    <n v="676"/>
    <n v="280"/>
    <n v="1438"/>
    <n v="857"/>
    <n v="90"/>
    <n v="92"/>
    <n v="462"/>
    <n v="66"/>
    <n v="679"/>
    <n v="1806"/>
    <n v="211"/>
    <n v="447"/>
    <n v="13"/>
    <n v="87"/>
    <n v="1585"/>
    <n v="359"/>
    <n v="137"/>
    <n v="51"/>
  </r>
  <r>
    <x v="9"/>
    <x v="9"/>
    <x v="9"/>
    <n v="188"/>
    <s v="."/>
    <n v="921"/>
    <x v="9"/>
    <n v="1044"/>
    <n v="199"/>
    <n v="302"/>
    <n v="78"/>
    <x v="9"/>
    <n v="764"/>
    <n v="21"/>
    <n v="485"/>
    <n v="154"/>
    <n v="178"/>
    <n v="736"/>
    <n v="530"/>
    <n v="203"/>
    <n v="399"/>
    <n v="378"/>
    <n v="836"/>
    <n v="464"/>
    <n v="103"/>
    <n v="639"/>
    <n v="315"/>
    <n v="453"/>
    <n v="9"/>
    <n v="68"/>
    <n v="165"/>
    <n v="798"/>
    <n v="49"/>
    <n v="153"/>
    <n v="116"/>
    <n v="595"/>
    <n v="252"/>
    <n v="924"/>
    <n v="1251"/>
    <n v="730"/>
    <n v="325"/>
    <n v="1329"/>
    <n v="977"/>
    <n v="88"/>
    <n v="92"/>
    <n v="428"/>
    <n v="43"/>
    <n v="570"/>
    <n v="1948"/>
    <n v="114"/>
    <n v="395"/>
    <n v="13"/>
    <n v="71"/>
    <n v="1607"/>
    <n v="337"/>
    <n v="104"/>
    <n v="51"/>
  </r>
  <r>
    <x v="10"/>
    <x v="10"/>
    <x v="10"/>
    <n v="102"/>
    <s v="."/>
    <n v="637"/>
    <x v="10"/>
    <n v="642"/>
    <n v="125"/>
    <n v="187"/>
    <n v="74"/>
    <x v="10"/>
    <n v="297"/>
    <n v="12"/>
    <n v="153"/>
    <n v="120"/>
    <n v="128"/>
    <n v="402"/>
    <n v="495"/>
    <n v="216"/>
    <n v="266"/>
    <n v="266"/>
    <n v="534"/>
    <n v="281"/>
    <n v="91"/>
    <n v="498"/>
    <n v="327"/>
    <n v="352"/>
    <n v="0"/>
    <n v="31"/>
    <n v="110"/>
    <n v="706"/>
    <n v="34"/>
    <n v="129"/>
    <n v="119"/>
    <n v="438"/>
    <n v="169"/>
    <n v="749"/>
    <n v="1108"/>
    <n v="505"/>
    <n v="199"/>
    <n v="1000"/>
    <n v="782"/>
    <n v="5"/>
    <n v="97"/>
    <n v="309"/>
    <n v="31"/>
    <n v="557"/>
    <n v="1279"/>
    <n v="129"/>
    <n v="348"/>
    <n v="6"/>
    <n v="103"/>
    <n v="832"/>
    <n v="297"/>
    <n v="95"/>
    <n v="19"/>
  </r>
  <r>
    <x v="11"/>
    <x v="11"/>
    <x v="11"/>
    <n v="92"/>
    <s v="."/>
    <n v="857"/>
    <x v="11"/>
    <n v="738"/>
    <n v="149"/>
    <n v="208"/>
    <n v="93"/>
    <x v="11"/>
    <n v="664"/>
    <n v="31"/>
    <n v="306"/>
    <n v="141"/>
    <n v="149"/>
    <n v="524"/>
    <n v="482"/>
    <n v="218"/>
    <n v="328"/>
    <n v="322"/>
    <n v="534"/>
    <n v="303"/>
    <n v="243"/>
    <n v="498"/>
    <n v="290"/>
    <n v="476"/>
    <n v="9"/>
    <n v="139"/>
    <n v="172"/>
    <n v="687"/>
    <n v="37"/>
    <n v="145"/>
    <n v="127"/>
    <n v="479"/>
    <n v="91"/>
    <n v="752"/>
    <n v="990"/>
    <n v="633"/>
    <n v="273"/>
    <n v="1460"/>
    <n v="778"/>
    <n v="70"/>
    <n v="113"/>
    <n v="359"/>
    <n v="40"/>
    <n v="549"/>
    <n v="1711"/>
    <n v="155"/>
    <n v="392"/>
    <n v="6"/>
    <n v="100"/>
    <n v="1569"/>
    <n v="341"/>
    <n v="122"/>
    <n v="68"/>
  </r>
  <r>
    <x v="12"/>
    <x v="12"/>
    <x v="12"/>
    <n v="205"/>
    <s v="."/>
    <n v="932"/>
    <x v="12"/>
    <n v="1022"/>
    <n v="165"/>
    <n v="218"/>
    <n v="79"/>
    <x v="12"/>
    <n v="701"/>
    <n v="24"/>
    <n v="317"/>
    <n v="128"/>
    <n v="182"/>
    <n v="523"/>
    <n v="488"/>
    <n v="199"/>
    <n v="417"/>
    <n v="249"/>
    <n v="545"/>
    <n v="291"/>
    <n v="123"/>
    <n v="484"/>
    <n v="336"/>
    <n v="569"/>
    <s v="."/>
    <n v="61"/>
    <n v="207"/>
    <n v="777"/>
    <n v="27"/>
    <n v="132"/>
    <n v="100"/>
    <n v="454"/>
    <n v="256"/>
    <n v="1094"/>
    <n v="1098"/>
    <n v="623"/>
    <n v="288"/>
    <n v="1575"/>
    <n v="826"/>
    <n v="58"/>
    <n v="100"/>
    <n v="393"/>
    <n v="58"/>
    <n v="759"/>
    <n v="2036"/>
    <n v="181"/>
    <n v="386"/>
    <n v="9"/>
    <n v="122"/>
    <n v="1684"/>
    <n v="335"/>
    <n v="91"/>
    <n v="90"/>
  </r>
  <r>
    <x v="13"/>
    <x v="13"/>
    <x v="12"/>
    <n v="226"/>
    <s v="."/>
    <n v="994"/>
    <x v="13"/>
    <n v="978"/>
    <n v="174"/>
    <n v="213"/>
    <n v="89"/>
    <x v="13"/>
    <n v="646"/>
    <n v="32"/>
    <n v="283"/>
    <n v="135"/>
    <n v="209"/>
    <n v="559"/>
    <n v="422"/>
    <n v="211"/>
    <n v="391"/>
    <n v="223"/>
    <n v="550"/>
    <n v="312"/>
    <n v="115"/>
    <n v="456"/>
    <n v="299"/>
    <n v="513"/>
    <s v="."/>
    <n v="40"/>
    <n v="168"/>
    <n v="688"/>
    <n v="44"/>
    <n v="129"/>
    <n v="128"/>
    <n v="521"/>
    <n v="298"/>
    <n v="644"/>
    <n v="1180"/>
    <n v="589"/>
    <n v="304"/>
    <n v="1407"/>
    <n v="719"/>
    <n v="59"/>
    <n v="130"/>
    <n v="388"/>
    <n v="42"/>
    <n v="570"/>
    <n v="1837"/>
    <n v="121"/>
    <n v="389"/>
    <n v="9"/>
    <n v="108"/>
    <n v="1780"/>
    <n v="351"/>
    <n v="132"/>
    <n v="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n v="288"/>
    <n v="256"/>
    <n v="210"/>
    <n v="178"/>
    <n v="180"/>
    <n v="168"/>
    <n v="124"/>
    <n v="132"/>
    <n v="111"/>
    <n v="94"/>
    <n v="36"/>
    <n v="134"/>
    <n v="119"/>
    <x v="0"/>
  </r>
  <r>
    <x v="1"/>
    <n v="659"/>
    <n v="526"/>
    <n v="511"/>
    <n v="542"/>
    <n v="474"/>
    <n v="373"/>
    <n v="269"/>
    <n v="339"/>
    <n v="292"/>
    <n v="329"/>
    <n v="241"/>
    <n v="308"/>
    <n v="291"/>
    <x v="1"/>
  </r>
  <r>
    <x v="2"/>
    <n v="411"/>
    <n v="362"/>
    <n v="462"/>
    <n v="361"/>
    <n v="456"/>
    <n v="222"/>
    <n v="239"/>
    <n v="251"/>
    <n v="238"/>
    <n v="188"/>
    <n v="102"/>
    <n v="92"/>
    <n v="205"/>
    <x v="2"/>
  </r>
  <r>
    <x v="3"/>
    <s v="."/>
    <s v="."/>
    <s v="."/>
    <s v="."/>
    <s v="."/>
    <s v="."/>
    <s v="."/>
    <s v="."/>
    <s v="."/>
    <s v="."/>
    <s v="."/>
    <s v="."/>
    <s v="."/>
    <x v="3"/>
  </r>
  <r>
    <x v="4"/>
    <n v="1528"/>
    <n v="1478"/>
    <n v="1222"/>
    <n v="858"/>
    <n v="1220"/>
    <n v="1036"/>
    <n v="970"/>
    <n v="893"/>
    <n v="910"/>
    <n v="921"/>
    <n v="637"/>
    <n v="857"/>
    <n v="932"/>
    <x v="4"/>
  </r>
  <r>
    <x v="5"/>
    <n v="16783"/>
    <n v="14611"/>
    <n v="12895"/>
    <n v="12096"/>
    <n v="11311"/>
    <n v="9612"/>
    <n v="11436"/>
    <n v="10836"/>
    <n v="10980"/>
    <n v="11401"/>
    <n v="3351"/>
    <n v="10395"/>
    <n v="10589"/>
    <x v="5"/>
  </r>
  <r>
    <x v="6"/>
    <n v="2074"/>
    <n v="1512"/>
    <n v="685"/>
    <n v="753"/>
    <n v="950"/>
    <n v="1181"/>
    <n v="1078"/>
    <n v="1073"/>
    <n v="1068"/>
    <n v="1044"/>
    <n v="642"/>
    <n v="738"/>
    <n v="1022"/>
    <x v="6"/>
  </r>
  <r>
    <x v="7"/>
    <n v="443"/>
    <n v="332"/>
    <n v="341"/>
    <n v="295"/>
    <n v="282"/>
    <n v="216"/>
    <n v="191"/>
    <n v="190"/>
    <n v="195"/>
    <n v="199"/>
    <n v="125"/>
    <n v="149"/>
    <n v="165"/>
    <x v="7"/>
  </r>
  <r>
    <x v="8"/>
    <n v="515"/>
    <n v="531"/>
    <n v="499"/>
    <n v="406"/>
    <n v="408"/>
    <n v="350"/>
    <n v="285"/>
    <n v="306"/>
    <n v="297"/>
    <n v="302"/>
    <n v="187"/>
    <n v="208"/>
    <n v="218"/>
    <x v="8"/>
  </r>
  <r>
    <x v="9"/>
    <n v="55"/>
    <n v="66"/>
    <n v="89"/>
    <n v="93"/>
    <n v="79"/>
    <n v="107"/>
    <n v="91"/>
    <n v="70"/>
    <n v="65"/>
    <n v="78"/>
    <n v="74"/>
    <n v="93"/>
    <n v="79"/>
    <x v="9"/>
  </r>
  <r>
    <x v="10"/>
    <n v="5644"/>
    <n v="5331"/>
    <n v="5505"/>
    <n v="4552"/>
    <n v="3926"/>
    <n v="2902"/>
    <n v="2817"/>
    <n v="2543"/>
    <n v="2472"/>
    <n v="2436"/>
    <n v="2011"/>
    <n v="2279"/>
    <n v="2558"/>
    <x v="10"/>
  </r>
  <r>
    <x v="11"/>
    <n v="2243"/>
    <n v="2297"/>
    <n v="1805"/>
    <n v="1443"/>
    <n v="1548"/>
    <n v="1055"/>
    <n v="712"/>
    <n v="705"/>
    <n v="801"/>
    <n v="764"/>
    <n v="297"/>
    <n v="664"/>
    <n v="701"/>
    <x v="11"/>
  </r>
  <r>
    <x v="12"/>
    <n v="33"/>
    <n v="31"/>
    <n v="32"/>
    <n v="36"/>
    <n v="23"/>
    <n v="21"/>
    <n v="24"/>
    <n v="14"/>
    <n v="23"/>
    <n v="21"/>
    <n v="12"/>
    <n v="31"/>
    <n v="24"/>
    <x v="12"/>
  </r>
  <r>
    <x v="13"/>
    <n v="505"/>
    <n v="507"/>
    <n v="558"/>
    <n v="593"/>
    <n v="692"/>
    <n v="670"/>
    <n v="615"/>
    <n v="532"/>
    <n v="505"/>
    <n v="485"/>
    <n v="153"/>
    <n v="306"/>
    <n v="317"/>
    <x v="13"/>
  </r>
  <r>
    <x v="14"/>
    <n v="267"/>
    <n v="217"/>
    <n v="229"/>
    <n v="202"/>
    <n v="207"/>
    <n v="170"/>
    <n v="171"/>
    <n v="196"/>
    <n v="149"/>
    <n v="154"/>
    <n v="120"/>
    <n v="141"/>
    <n v="128"/>
    <x v="14"/>
  </r>
  <r>
    <x v="15"/>
    <n v="250"/>
    <n v="260"/>
    <n v="208"/>
    <n v="215"/>
    <n v="249"/>
    <n v="267"/>
    <n v="228"/>
    <n v="215"/>
    <n v="201"/>
    <n v="178"/>
    <n v="128"/>
    <n v="149"/>
    <n v="182"/>
    <x v="15"/>
  </r>
  <r>
    <x v="16"/>
    <n v="1081"/>
    <n v="1147"/>
    <n v="1267"/>
    <n v="1234"/>
    <n v="1226"/>
    <n v="949"/>
    <n v="864"/>
    <n v="804"/>
    <n v="690"/>
    <n v="736"/>
    <n v="402"/>
    <n v="524"/>
    <n v="523"/>
    <x v="16"/>
  </r>
  <r>
    <x v="17"/>
    <n v="714"/>
    <n v="687"/>
    <n v="743"/>
    <n v="725"/>
    <n v="790"/>
    <n v="663"/>
    <n v="615"/>
    <n v="539"/>
    <n v="572"/>
    <n v="530"/>
    <n v="495"/>
    <n v="482"/>
    <n v="488"/>
    <x v="17"/>
  </r>
  <r>
    <x v="18"/>
    <n v="384"/>
    <n v="373"/>
    <n v="414"/>
    <n v="393"/>
    <n v="311"/>
    <n v="169"/>
    <n v="217"/>
    <n v="195"/>
    <n v="189"/>
    <n v="203"/>
    <n v="216"/>
    <n v="218"/>
    <n v="199"/>
    <x v="18"/>
  </r>
  <r>
    <x v="19"/>
    <n v="636"/>
    <n v="440"/>
    <n v="607"/>
    <n v="600"/>
    <n v="591"/>
    <n v="512"/>
    <n v="489"/>
    <n v="369"/>
    <n v="447"/>
    <n v="399"/>
    <n v="266"/>
    <n v="328"/>
    <n v="417"/>
    <x v="19"/>
  </r>
  <r>
    <x v="20"/>
    <n v="950"/>
    <n v="899"/>
    <n v="575"/>
    <n v="437"/>
    <n v="392"/>
    <n v="400"/>
    <n v="383"/>
    <n v="406"/>
    <n v="360"/>
    <n v="378"/>
    <n v="266"/>
    <n v="322"/>
    <n v="249"/>
    <x v="20"/>
  </r>
  <r>
    <x v="21"/>
    <n v="1268"/>
    <n v="1181"/>
    <n v="1253"/>
    <n v="1264"/>
    <n v="1133"/>
    <n v="949"/>
    <n v="853"/>
    <n v="985"/>
    <n v="917"/>
    <n v="836"/>
    <n v="534"/>
    <n v="534"/>
    <n v="545"/>
    <x v="21"/>
  </r>
  <r>
    <x v="22"/>
    <n v="696"/>
    <n v="617"/>
    <n v="673"/>
    <n v="654"/>
    <n v="714"/>
    <n v="555"/>
    <n v="536"/>
    <n v="574"/>
    <n v="490"/>
    <n v="464"/>
    <n v="281"/>
    <n v="303"/>
    <n v="291"/>
    <x v="22"/>
  </r>
  <r>
    <x v="23"/>
    <n v="127"/>
    <n v="116"/>
    <n v="164"/>
    <n v="152"/>
    <n v="151"/>
    <n v="146"/>
    <n v="131"/>
    <n v="119"/>
    <n v="116"/>
    <n v="103"/>
    <n v="91"/>
    <n v="243"/>
    <n v="123"/>
    <x v="23"/>
  </r>
  <r>
    <x v="24"/>
    <n v="959"/>
    <n v="1017"/>
    <n v="1100"/>
    <n v="1122"/>
    <n v="1067"/>
    <n v="822"/>
    <n v="773"/>
    <n v="693"/>
    <n v="599"/>
    <n v="639"/>
    <n v="498"/>
    <n v="498"/>
    <n v="484"/>
    <x v="24"/>
  </r>
  <r>
    <x v="25"/>
    <n v="449"/>
    <n v="309"/>
    <n v="349"/>
    <n v="317"/>
    <n v="297"/>
    <n v="279"/>
    <n v="281"/>
    <n v="301"/>
    <n v="297"/>
    <n v="315"/>
    <n v="327"/>
    <n v="290"/>
    <n v="336"/>
    <x v="25"/>
  </r>
  <r>
    <x v="26"/>
    <n v="852"/>
    <n v="899"/>
    <n v="843"/>
    <n v="652"/>
    <n v="540"/>
    <n v="575"/>
    <n v="538"/>
    <n v="507"/>
    <n v="488"/>
    <n v="453"/>
    <n v="352"/>
    <n v="476"/>
    <n v="569"/>
    <x v="26"/>
  </r>
  <r>
    <x v="27"/>
    <s v="."/>
    <s v="."/>
    <s v="."/>
    <s v="."/>
    <s v="."/>
    <s v="."/>
    <n v="0"/>
    <n v="0"/>
    <n v="4"/>
    <n v="9"/>
    <n v="0"/>
    <n v="9"/>
    <s v="."/>
    <x v="3"/>
  </r>
  <r>
    <x v="28"/>
    <n v="205"/>
    <n v="244"/>
    <n v="210"/>
    <n v="279"/>
    <n v="206"/>
    <n v="144"/>
    <n v="57"/>
    <n v="102"/>
    <n v="72"/>
    <n v="68"/>
    <n v="31"/>
    <n v="139"/>
    <n v="61"/>
    <x v="27"/>
  </r>
  <r>
    <x v="29"/>
    <n v="251"/>
    <n v="323"/>
    <n v="309"/>
    <n v="256"/>
    <n v="277"/>
    <n v="165"/>
    <n v="205"/>
    <n v="198"/>
    <n v="205"/>
    <n v="165"/>
    <n v="110"/>
    <n v="172"/>
    <n v="207"/>
    <x v="28"/>
  </r>
  <r>
    <x v="30"/>
    <n v="1248"/>
    <n v="1413"/>
    <n v="1123"/>
    <n v="1164"/>
    <n v="1092"/>
    <n v="888"/>
    <n v="931"/>
    <n v="884"/>
    <n v="907"/>
    <n v="798"/>
    <n v="706"/>
    <n v="687"/>
    <n v="777"/>
    <x v="29"/>
  </r>
  <r>
    <x v="31"/>
    <n v="124"/>
    <n v="160"/>
    <n v="241"/>
    <n v="151"/>
    <n v="137"/>
    <n v="116"/>
    <n v="74"/>
    <n v="9"/>
    <n v="49"/>
    <n v="49"/>
    <n v="34"/>
    <n v="37"/>
    <n v="27"/>
    <x v="30"/>
  </r>
  <r>
    <x v="32"/>
    <n v="310"/>
    <n v="249"/>
    <n v="183"/>
    <n v="241"/>
    <n v="247"/>
    <n v="219"/>
    <n v="174"/>
    <n v="171"/>
    <n v="175"/>
    <n v="153"/>
    <n v="129"/>
    <n v="145"/>
    <n v="132"/>
    <x v="31"/>
  </r>
  <r>
    <x v="33"/>
    <n v="126"/>
    <n v="127"/>
    <n v="125"/>
    <n v="171"/>
    <n v="138"/>
    <n v="123"/>
    <n v="124"/>
    <n v="143"/>
    <n v="113"/>
    <n v="116"/>
    <n v="119"/>
    <n v="127"/>
    <n v="100"/>
    <x v="32"/>
  </r>
  <r>
    <x v="34"/>
    <n v="811"/>
    <n v="592"/>
    <n v="540"/>
    <n v="630"/>
    <n v="696"/>
    <n v="556"/>
    <n v="583"/>
    <n v="555"/>
    <n v="551"/>
    <n v="595"/>
    <n v="438"/>
    <n v="479"/>
    <n v="454"/>
    <x v="33"/>
  </r>
  <r>
    <x v="35"/>
    <n v="364"/>
    <n v="345"/>
    <n v="243"/>
    <n v="318"/>
    <n v="278"/>
    <n v="214"/>
    <n v="248"/>
    <n v="290"/>
    <n v="257"/>
    <n v="252"/>
    <n v="169"/>
    <n v="91"/>
    <n v="256"/>
    <x v="34"/>
  </r>
  <r>
    <x v="36"/>
    <n v="1240"/>
    <n v="1229"/>
    <n v="790"/>
    <n v="1036"/>
    <n v="860"/>
    <n v="851"/>
    <n v="832"/>
    <n v="723"/>
    <n v="674"/>
    <n v="924"/>
    <n v="749"/>
    <n v="752"/>
    <n v="1094"/>
    <x v="35"/>
  </r>
  <r>
    <x v="37"/>
    <n v="5765"/>
    <n v="4961"/>
    <n v="4659"/>
    <n v="2542"/>
    <n v="2399"/>
    <n v="1248"/>
    <n v="1244"/>
    <n v="1224"/>
    <n v="1270"/>
    <n v="1251"/>
    <n v="1108"/>
    <n v="990"/>
    <n v="1098"/>
    <x v="36"/>
  </r>
  <r>
    <x v="38"/>
    <n v="1279"/>
    <n v="1244"/>
    <n v="1212"/>
    <n v="1236"/>
    <n v="1183"/>
    <n v="930"/>
    <n v="862"/>
    <n v="749"/>
    <n v="676"/>
    <n v="730"/>
    <n v="505"/>
    <n v="633"/>
    <n v="623"/>
    <x v="37"/>
  </r>
  <r>
    <x v="39"/>
    <n v="356"/>
    <n v="404"/>
    <n v="437"/>
    <n v="408"/>
    <n v="351"/>
    <n v="358"/>
    <n v="349"/>
    <n v="313"/>
    <n v="280"/>
    <n v="325"/>
    <n v="199"/>
    <n v="273"/>
    <n v="288"/>
    <x v="38"/>
  </r>
  <r>
    <x v="40"/>
    <n v="1474"/>
    <n v="1356"/>
    <n v="1494"/>
    <n v="1292"/>
    <n v="1464"/>
    <n v="1341"/>
    <n v="1251"/>
    <n v="1363"/>
    <n v="1438"/>
    <n v="1329"/>
    <n v="1000"/>
    <n v="1460"/>
    <n v="1575"/>
    <x v="39"/>
  </r>
  <r>
    <x v="41"/>
    <n v="1392"/>
    <n v="1456"/>
    <n v="1462"/>
    <n v="1411"/>
    <n v="1375"/>
    <n v="1136"/>
    <n v="963"/>
    <n v="982"/>
    <n v="857"/>
    <n v="977"/>
    <n v="782"/>
    <n v="778"/>
    <n v="826"/>
    <x v="40"/>
  </r>
  <r>
    <x v="42"/>
    <n v="137"/>
    <n v="116"/>
    <n v="82"/>
    <n v="87"/>
    <n v="164"/>
    <n v="146"/>
    <n v="94"/>
    <n v="82"/>
    <n v="90"/>
    <n v="88"/>
    <n v="5"/>
    <n v="70"/>
    <n v="58"/>
    <x v="41"/>
  </r>
  <r>
    <x v="43"/>
    <n v="123"/>
    <n v="96"/>
    <n v="97"/>
    <n v="108"/>
    <n v="107"/>
    <n v="89"/>
    <n v="95"/>
    <n v="103"/>
    <n v="92"/>
    <n v="92"/>
    <n v="97"/>
    <n v="113"/>
    <n v="100"/>
    <x v="42"/>
  </r>
  <r>
    <x v="44"/>
    <n v="612"/>
    <n v="543"/>
    <n v="636"/>
    <n v="703"/>
    <n v="681"/>
    <n v="738"/>
    <n v="480"/>
    <n v="415"/>
    <n v="462"/>
    <n v="428"/>
    <n v="309"/>
    <n v="359"/>
    <n v="393"/>
    <x v="43"/>
  </r>
  <r>
    <x v="45"/>
    <n v="109"/>
    <n v="124"/>
    <n v="125"/>
    <n v="132"/>
    <n v="177"/>
    <n v="120"/>
    <n v="130"/>
    <n v="110"/>
    <n v="66"/>
    <n v="43"/>
    <n v="31"/>
    <n v="40"/>
    <n v="58"/>
    <x v="44"/>
  </r>
  <r>
    <x v="46"/>
    <n v="965"/>
    <n v="1285"/>
    <n v="991"/>
    <n v="1142"/>
    <n v="945"/>
    <n v="831"/>
    <n v="757"/>
    <n v="742"/>
    <n v="679"/>
    <n v="570"/>
    <n v="557"/>
    <n v="549"/>
    <n v="759"/>
    <x v="45"/>
  </r>
  <r>
    <x v="47"/>
    <n v="4891"/>
    <n v="4364"/>
    <n v="3878"/>
    <n v="2718"/>
    <n v="2393"/>
    <n v="1768"/>
    <n v="2200"/>
    <n v="1935"/>
    <n v="1806"/>
    <n v="1948"/>
    <n v="1279"/>
    <n v="1711"/>
    <n v="2036"/>
    <x v="46"/>
  </r>
  <r>
    <x v="48"/>
    <n v="345"/>
    <n v="330"/>
    <n v="327"/>
    <n v="317"/>
    <n v="337"/>
    <n v="335"/>
    <n v="220"/>
    <n v="239"/>
    <n v="211"/>
    <n v="114"/>
    <n v="129"/>
    <n v="155"/>
    <n v="181"/>
    <x v="47"/>
  </r>
  <r>
    <x v="49"/>
    <n v="931"/>
    <n v="881"/>
    <n v="719"/>
    <n v="620"/>
    <n v="604"/>
    <n v="515"/>
    <n v="478"/>
    <n v="485"/>
    <n v="447"/>
    <n v="395"/>
    <n v="348"/>
    <n v="392"/>
    <n v="386"/>
    <x v="48"/>
  </r>
  <r>
    <x v="50"/>
    <n v="32"/>
    <n v="33"/>
    <n v="33"/>
    <n v="32"/>
    <n v="34"/>
    <n v="32"/>
    <n v="23"/>
    <n v="24"/>
    <n v="13"/>
    <n v="13"/>
    <n v="6"/>
    <n v="6"/>
    <n v="9"/>
    <x v="49"/>
  </r>
  <r>
    <x v="51"/>
    <n v="81"/>
    <n v="109"/>
    <n v="128"/>
    <n v="120"/>
    <n v="119"/>
    <n v="110"/>
    <n v="94"/>
    <n v="104"/>
    <n v="87"/>
    <n v="71"/>
    <n v="103"/>
    <n v="100"/>
    <n v="122"/>
    <x v="50"/>
  </r>
  <r>
    <x v="52"/>
    <n v="1478"/>
    <n v="1475"/>
    <n v="1318"/>
    <n v="1433"/>
    <n v="1293"/>
    <n v="1484"/>
    <n v="2093"/>
    <n v="1636"/>
    <n v="1585"/>
    <n v="1607"/>
    <n v="832"/>
    <n v="1569"/>
    <n v="1684"/>
    <x v="51"/>
  </r>
  <r>
    <x v="53"/>
    <n v="607"/>
    <n v="539"/>
    <n v="552"/>
    <n v="520"/>
    <n v="534"/>
    <n v="415"/>
    <n v="329"/>
    <n v="332"/>
    <n v="359"/>
    <n v="337"/>
    <n v="297"/>
    <n v="341"/>
    <n v="335"/>
    <x v="52"/>
  </r>
  <r>
    <x v="54"/>
    <n v="302"/>
    <n v="268"/>
    <n v="329"/>
    <n v="333"/>
    <n v="305"/>
    <n v="143"/>
    <n v="137"/>
    <n v="131"/>
    <n v="137"/>
    <n v="104"/>
    <n v="95"/>
    <n v="122"/>
    <n v="91"/>
    <x v="53"/>
  </r>
  <r>
    <x v="55"/>
    <n v="83"/>
    <n v="311"/>
    <n v="137"/>
    <n v="116"/>
    <n v="112"/>
    <n v="87"/>
    <n v="63"/>
    <n v="47"/>
    <n v="51"/>
    <n v="51"/>
    <n v="19"/>
    <n v="68"/>
    <n v="90"/>
    <x v="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530D48-D697-4DCF-A446-0C051E67F5E0}"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North East States">
  <location ref="A27:B37" firstHeaderRow="1" firstDataRow="1" firstDataCol="1"/>
  <pivotFields count="15">
    <pivotField axis="axisRow" showAll="0">
      <items count="57">
        <item h="1" x="0"/>
        <item h="1" x="1"/>
        <item h="1" x="2"/>
        <item h="1" x="3"/>
        <item h="1" x="4"/>
        <item h="1" x="5"/>
        <item h="1" x="6"/>
        <item x="7"/>
        <item h="1" x="8"/>
        <item h="1" x="9"/>
        <item h="1" x="10"/>
        <item h="1" x="11"/>
        <item h="1" x="12"/>
        <item h="1" x="13"/>
        <item h="1" x="14"/>
        <item h="1" x="15"/>
        <item h="1" x="16"/>
        <item h="1" x="17"/>
        <item h="1" x="18"/>
        <item h="1" x="19"/>
        <item h="1" x="20"/>
        <item x="21"/>
        <item h="1" x="22"/>
        <item x="23"/>
        <item h="1" x="24"/>
        <item h="1" x="25"/>
        <item h="1" x="26"/>
        <item h="1" x="27"/>
        <item h="1" x="28"/>
        <item h="1" x="29"/>
        <item h="1" x="30"/>
        <item h="1" x="31"/>
        <item h="1" x="32"/>
        <item x="33"/>
        <item x="34"/>
        <item h="1" x="35"/>
        <item h="1" x="36"/>
        <item x="37"/>
        <item h="1" x="38"/>
        <item h="1" x="39"/>
        <item h="1" x="40"/>
        <item x="41"/>
        <item h="1" x="42"/>
        <item x="43"/>
        <item h="1" x="44"/>
        <item h="1" x="45"/>
        <item h="1" x="46"/>
        <item h="1" x="47"/>
        <item h="1" x="48"/>
        <item h="1" x="49"/>
        <item h="1" x="50"/>
        <item x="51"/>
        <item h="1" x="52"/>
        <item h="1" x="53"/>
        <item h="1" x="54"/>
        <item h="1"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6">
        <item x="49"/>
        <item x="12"/>
        <item x="54"/>
        <item x="27"/>
        <item x="44"/>
        <item x="30"/>
        <item x="41"/>
        <item x="9"/>
        <item x="0"/>
        <item x="50"/>
        <item x="23"/>
        <item x="47"/>
        <item x="32"/>
        <item x="31"/>
        <item x="42"/>
        <item x="53"/>
        <item x="14"/>
        <item x="28"/>
        <item x="7"/>
        <item x="15"/>
        <item x="18"/>
        <item x="8"/>
        <item x="20"/>
        <item x="2"/>
        <item x="13"/>
        <item x="1"/>
        <item x="34"/>
        <item x="25"/>
        <item x="38"/>
        <item x="22"/>
        <item x="52"/>
        <item x="43"/>
        <item x="48"/>
        <item x="19"/>
        <item x="17"/>
        <item x="24"/>
        <item x="26"/>
        <item x="33"/>
        <item x="21"/>
        <item x="16"/>
        <item x="45"/>
        <item x="37"/>
        <item x="35"/>
        <item x="11"/>
        <item x="29"/>
        <item x="40"/>
        <item x="6"/>
        <item x="4"/>
        <item x="36"/>
        <item x="39"/>
        <item x="51"/>
        <item x="46"/>
        <item x="10"/>
        <item x="5"/>
        <item x="3"/>
        <item t="default"/>
      </items>
    </pivotField>
  </pivotFields>
  <rowFields count="1">
    <field x="0"/>
  </rowFields>
  <rowItems count="10">
    <i>
      <x v="7"/>
    </i>
    <i>
      <x v="21"/>
    </i>
    <i>
      <x v="23"/>
    </i>
    <i>
      <x v="33"/>
    </i>
    <i>
      <x v="34"/>
    </i>
    <i>
      <x v="37"/>
    </i>
    <i>
      <x v="41"/>
    </i>
    <i>
      <x v="43"/>
    </i>
    <i>
      <x v="51"/>
    </i>
    <i t="grand">
      <x/>
    </i>
  </rowItems>
  <colItems count="1">
    <i/>
  </colItems>
  <dataFields count="1">
    <dataField name="Total Homeless VA Pop 2024" fld="14" baseField="0" baseItem="2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BE697A-F324-4C52-B1BB-C636A00C7992}" name="TotalVA"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8" firstHeaderRow="0" firstDataRow="1" firstDataCol="1"/>
  <pivotFields count="57">
    <pivotField axis="axisRow" showAll="0">
      <items count="15">
        <item x="0"/>
        <item x="1"/>
        <item x="2"/>
        <item x="3"/>
        <item x="4"/>
        <item x="5"/>
        <item x="6"/>
        <item x="7"/>
        <item x="8"/>
        <item x="9"/>
        <item x="10"/>
        <item x="11"/>
        <item x="12"/>
        <item x="13"/>
        <item t="default"/>
      </items>
    </pivotField>
    <pivotField showAll="0">
      <items count="15">
        <item x="10"/>
        <item x="9"/>
        <item x="13"/>
        <item x="8"/>
        <item x="12"/>
        <item x="6"/>
        <item x="7"/>
        <item x="11"/>
        <item x="5"/>
        <item x="3"/>
        <item x="4"/>
        <item x="2"/>
        <item x="1"/>
        <item x="0"/>
        <item t="default"/>
      </items>
    </pivotField>
    <pivotField dataField="1"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CA" fld="6" baseField="0" baseItem="0"/>
    <dataField name="Sum of AL" fld="2" baseField="0" baseItem="0"/>
    <dataField name="Sum of FL" fld="11" baseField="0" baseItem="0"/>
  </dataFields>
  <chartFormats count="3">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B5F6CBC7-2742-44DC-920D-86AE881CF4E7}" autoFormatId="16" applyNumberFormats="0" applyBorderFormats="0" applyFontFormats="0" applyPatternFormats="0" applyAlignmentFormats="0" applyWidthHeightFormats="0">
  <queryTableRefresh nextId="4">
    <queryTableFields count="3">
      <queryTableField id="1" name="Abbreviation" tableColumnId="1"/>
      <queryTableField id="2" name="Entity Name" tableColumnId="2"/>
      <queryTableField id="3" name="Category"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0FBF1598-8141-4790-AB1D-17154566E8CB}" autoFormatId="16" applyNumberFormats="0" applyBorderFormats="0" applyFontFormats="0" applyPatternFormats="0" applyAlignmentFormats="0" applyWidthHeightFormats="0">
  <queryTableRefresh nextId="8">
    <queryTableFields count="7">
      <queryTableField id="1" name="State/Territory" tableColumnId="1"/>
      <queryTableField id="2" name="Number of CoCs" tableColumnId="2"/>
      <queryTableField id="3" name="Homeless Veterans, 2023" tableColumnId="3"/>
      <queryTableField id="4" name="2024.Number of CoCs" tableColumnId="4"/>
      <queryTableField id="5" name="2024.Homeless Veterans, 2024" tableColumnId="5"/>
      <queryTableField id="6" name="Territories.Entity Name" tableColumnId="6"/>
      <queryTableField id="7" name="Category"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EFBAD090-65C4-449D-BED0-B388A7201743}" autoFormatId="16" applyNumberFormats="0" applyBorderFormats="0" applyFontFormats="0" applyPatternFormats="0" applyAlignmentFormats="0" applyWidthHeightFormats="0">
  <queryTableRefresh nextId="58">
    <queryTableFields count="57">
      <queryTableField id="1" name="Year" tableColumnId="1"/>
      <queryTableField id="2" name="AK" tableColumnId="2"/>
      <queryTableField id="3" name="AL" tableColumnId="3"/>
      <queryTableField id="4" name="AR" tableColumnId="4"/>
      <queryTableField id="5" name="AS" tableColumnId="5"/>
      <queryTableField id="6" name="AZ" tableColumnId="6"/>
      <queryTableField id="7" name="CA" tableColumnId="7"/>
      <queryTableField id="8" name="CO" tableColumnId="8"/>
      <queryTableField id="9" name="CT" tableColumnId="9"/>
      <queryTableField id="10" name="DC" tableColumnId="10"/>
      <queryTableField id="11" name="DE" tableColumnId="11"/>
      <queryTableField id="12" name="FL" tableColumnId="12"/>
      <queryTableField id="13" name="GA" tableColumnId="13"/>
      <queryTableField id="14" name="GU" tableColumnId="14"/>
      <queryTableField id="15" name="HI" tableColumnId="15"/>
      <queryTableField id="16" name="IA" tableColumnId="16"/>
      <queryTableField id="17" name="ID" tableColumnId="17"/>
      <queryTableField id="18" name="IL" tableColumnId="18"/>
      <queryTableField id="19" name="IN" tableColumnId="19"/>
      <queryTableField id="20" name="KS" tableColumnId="20"/>
      <queryTableField id="21" name="KY" tableColumnId="21"/>
      <queryTableField id="22" name="LA" tableColumnId="22"/>
      <queryTableField id="23" name="MA" tableColumnId="23"/>
      <queryTableField id="24" name="MD" tableColumnId="24"/>
      <queryTableField id="25" name="ME" tableColumnId="25"/>
      <queryTableField id="26" name="MI" tableColumnId="26"/>
      <queryTableField id="27" name="MN" tableColumnId="27"/>
      <queryTableField id="28" name="MO" tableColumnId="28"/>
      <queryTableField id="29" name="MP" tableColumnId="29"/>
      <queryTableField id="30" name="MS" tableColumnId="30"/>
      <queryTableField id="31" name="MT" tableColumnId="31"/>
      <queryTableField id="32" name="NC" tableColumnId="32"/>
      <queryTableField id="33" name="ND" tableColumnId="33"/>
      <queryTableField id="34" name="NE" tableColumnId="34"/>
      <queryTableField id="35" name="NH" tableColumnId="35"/>
      <queryTableField id="36" name="NJ" tableColumnId="36"/>
      <queryTableField id="37" name="NM" tableColumnId="37"/>
      <queryTableField id="38" name="NV" tableColumnId="38"/>
      <queryTableField id="39" name="NY" tableColumnId="39"/>
      <queryTableField id="40" name="OH" tableColumnId="40"/>
      <queryTableField id="41" name="OK" tableColumnId="41"/>
      <queryTableField id="42" name="OR" tableColumnId="42"/>
      <queryTableField id="43" name="PA" tableColumnId="43"/>
      <queryTableField id="44" name="PR" tableColumnId="44"/>
      <queryTableField id="45" name="RI" tableColumnId="45"/>
      <queryTableField id="46" name="SC" tableColumnId="46"/>
      <queryTableField id="47" name="SD" tableColumnId="47"/>
      <queryTableField id="48" name="TN" tableColumnId="48"/>
      <queryTableField id="49" name="TX" tableColumnId="49"/>
      <queryTableField id="50" name="UT" tableColumnId="50"/>
      <queryTableField id="51" name="VA" tableColumnId="51"/>
      <queryTableField id="52" name="VI" tableColumnId="52"/>
      <queryTableField id="53" name="VT" tableColumnId="53"/>
      <queryTableField id="54" name="WA" tableColumnId="54"/>
      <queryTableField id="55" name="WI" tableColumnId="55"/>
      <queryTableField id="56" name="WV" tableColumnId="56"/>
      <queryTableField id="57" name="WY" tableColumnId="5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6" xr16:uid="{85CBC884-59C0-4A09-8318-D08A14EBA8CE}" autoFormatId="16" applyNumberFormats="0" applyBorderFormats="0" applyFontFormats="0" applyPatternFormats="0" applyAlignmentFormats="0" applyWidthHeightFormats="0">
  <queryTableRefresh nextId="16">
    <queryTableFields count="15">
      <queryTableField id="1" name="States" tableColumnId="1"/>
      <queryTableField id="2" name="2011" tableColumnId="2"/>
      <queryTableField id="3" name="2012" tableColumnId="3"/>
      <queryTableField id="4" name="2013" tableColumnId="4"/>
      <queryTableField id="5" name="2014" tableColumnId="5"/>
      <queryTableField id="6" name="2015" tableColumnId="6"/>
      <queryTableField id="7" name="2016" tableColumnId="7"/>
      <queryTableField id="8" name="2017" tableColumnId="8"/>
      <queryTableField id="9" name="2018" tableColumnId="9"/>
      <queryTableField id="10" name="2019" tableColumnId="10"/>
      <queryTableField id="11" name="2020" tableColumnId="11"/>
      <queryTableField id="12" name="2021" tableColumnId="12"/>
      <queryTableField id="13" name="2022" tableColumnId="13"/>
      <queryTableField id="14" name="2023" tableColumnId="14"/>
      <queryTableField id="15" name="2024"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 xr10:uid="{CAB56129-C0D5-48D3-9C22-F0339BB98DA5}" sourceName="States">
  <pivotTables>
    <pivotTable tabId="22" name="PivotTable5"/>
  </pivotTables>
  <data>
    <tabular pivotCacheId="1583393479">
      <items count="56">
        <i x="0"/>
        <i x="1"/>
        <i x="2"/>
        <i x="3"/>
        <i x="4"/>
        <i x="5"/>
        <i x="6"/>
        <i x="7" s="1"/>
        <i x="8"/>
        <i x="9"/>
        <i x="10"/>
        <i x="11"/>
        <i x="12"/>
        <i x="13"/>
        <i x="14"/>
        <i x="15"/>
        <i x="16"/>
        <i x="17"/>
        <i x="18"/>
        <i x="19"/>
        <i x="20"/>
        <i x="21" s="1"/>
        <i x="22"/>
        <i x="23" s="1"/>
        <i x="24"/>
        <i x="25"/>
        <i x="26"/>
        <i x="27"/>
        <i x="28"/>
        <i x="29"/>
        <i x="30"/>
        <i x="31"/>
        <i x="32"/>
        <i x="33" s="1"/>
        <i x="34" s="1"/>
        <i x="35"/>
        <i x="36"/>
        <i x="37" s="1"/>
        <i x="38"/>
        <i x="39"/>
        <i x="40"/>
        <i x="41" s="1"/>
        <i x="42"/>
        <i x="43" s="1"/>
        <i x="44"/>
        <i x="45"/>
        <i x="46"/>
        <i x="47"/>
        <i x="48"/>
        <i x="49"/>
        <i x="50"/>
        <i x="51" s="1"/>
        <i x="52"/>
        <i x="53"/>
        <i x="54"/>
        <i x="5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xr10:uid="{00083726-B1D2-48B1-A160-525E97267013}" cache="Slicer_States" caption="States" startItem="30"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32CB6E-88B3-460A-A3FA-112073303C6D}" name="Territories" displayName="Territories" ref="A1:C7" tableType="queryTable" totalsRowShown="0">
  <autoFilter ref="A1:C7" xr:uid="{B632CB6E-88B3-460A-A3FA-112073303C6D}"/>
  <tableColumns count="3">
    <tableColumn id="1" xr3:uid="{518D0305-F82C-4C4D-ACBC-1716565B3AAC}" uniqueName="1" name="Abbreviation" queryTableFieldId="1" dataDxfId="11"/>
    <tableColumn id="2" xr3:uid="{63E48D05-787E-435B-84A3-128BD4E5CFD2}" uniqueName="2" name="Entity Name" queryTableFieldId="2" dataDxfId="10"/>
    <tableColumn id="3" xr3:uid="{EB4B0294-B869-43A3-9873-FB33B1308B95}" uniqueName="3" name="Category" queryTableFieldId="3"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DE002B-5D6E-4BC4-B8B7-0171A095FA1B}" name="Comparison" displayName="Comparison" ref="A1:G57" tableType="queryTable" totalsRowShown="0">
  <autoFilter ref="A1:G57" xr:uid="{5EDE002B-5D6E-4BC4-B8B7-0171A095FA1B}">
    <filterColumn colId="4">
      <top10 val="10" filterVal="688"/>
    </filterColumn>
  </autoFilter>
  <sortState xmlns:xlrd2="http://schemas.microsoft.com/office/spreadsheetml/2017/richdata2" ref="A2:G57">
    <sortCondition ref="E1:E57"/>
  </sortState>
  <tableColumns count="7">
    <tableColumn id="1" xr3:uid="{91ECCDDF-AA0C-46A4-9091-92CD29118434}" uniqueName="1" name="State/Territory" queryTableFieldId="1"/>
    <tableColumn id="2" xr3:uid="{FC79E04E-7A2A-401E-B115-29DE68B4341E}" uniqueName="2" name="Number of CoCs" queryTableFieldId="2" dataDxfId="6"/>
    <tableColumn id="3" xr3:uid="{D1ACE5DD-89ED-423B-9150-F4CFE5803D63}" uniqueName="3" name="Homeless Veterans, 2023" queryTableFieldId="3" dataDxfId="5"/>
    <tableColumn id="4" xr3:uid="{EB5CEA35-685C-4168-AD1D-AA16F4AE5F7A}" uniqueName="4" name="2024.Number of CoCs" queryTableFieldId="4" dataDxfId="4"/>
    <tableColumn id="5" xr3:uid="{73B675CF-D7E2-4A03-8648-4B7AAF39E7EF}" uniqueName="5" name="2024.Homeless Veterans, 2024" queryTableFieldId="5" dataDxfId="2"/>
    <tableColumn id="6" xr3:uid="{87012A09-9258-4547-B669-B5A9CFFFD6CB}" uniqueName="6" name="Territories.Entity Name" queryTableFieldId="6" dataDxfId="3"/>
    <tableColumn id="7" xr3:uid="{519A735B-0D39-48EC-B681-E0AAED925E97}" uniqueName="7" name="Category" queryTableFieldId="7"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9387DB6-2324-4434-A915-98DD2D24681C}" name="Table7" displayName="Table7" ref="O5:P8" totalsRowShown="0">
  <autoFilter ref="O5:P8" xr:uid="{49387DB6-2324-4434-A915-98DD2D24681C}"/>
  <tableColumns count="2">
    <tableColumn id="1" xr3:uid="{6F397308-30E2-4950-866E-152B66F8FB01}" name="Name"/>
    <tableColumn id="2" xr3:uid="{A25FD6E4-F9CD-4107-82DC-ECB57C6CAC25}" name="Value"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FAF8577-6370-40C6-B3A9-A83F9B47364C}" name="TotalHomelessVA_1" displayName="TotalHomelessVA_1" ref="A1:BE15" tableType="queryTable" totalsRowShown="0">
  <autoFilter ref="A1:BE15" xr:uid="{EFAF8577-6370-40C6-B3A9-A83F9B47364C}"/>
  <tableColumns count="57">
    <tableColumn id="1" xr3:uid="{9C6F925B-7637-48E6-9B75-E9AF107A2B10}" uniqueName="1" name="Year" queryTableFieldId="1"/>
    <tableColumn id="2" xr3:uid="{0438EAB9-F429-4A88-9C54-97711F9123B0}" uniqueName="2" name="AK" queryTableFieldId="2"/>
    <tableColumn id="3" xr3:uid="{AB514292-E4A6-4184-AD52-9AA06917F4FB}" uniqueName="3" name="AL" queryTableFieldId="3"/>
    <tableColumn id="4" xr3:uid="{24716084-E8C4-43B5-B1F5-BD40F3ED75F9}" uniqueName="4" name="AR" queryTableFieldId="4"/>
    <tableColumn id="5" xr3:uid="{F639FD42-2957-46BA-9C82-BAF7211403AB}" uniqueName="5" name="AS" queryTableFieldId="5" dataDxfId="0"/>
    <tableColumn id="6" xr3:uid="{2364C0AE-63F5-4A30-896D-79ADC83C5472}" uniqueName="6" name="AZ" queryTableFieldId="6"/>
    <tableColumn id="7" xr3:uid="{FC760091-A602-478A-86BD-0A9772D5566D}" uniqueName="7" name="CA" queryTableFieldId="7"/>
    <tableColumn id="8" xr3:uid="{09611EE5-3061-483D-BBC3-B17ABC3A02F2}" uniqueName="8" name="CO" queryTableFieldId="8"/>
    <tableColumn id="9" xr3:uid="{6BAE653A-CF2A-427C-BF70-0F753A14AEFA}" uniqueName="9" name="CT" queryTableFieldId="9"/>
    <tableColumn id="10" xr3:uid="{06A0C2BE-BA53-40D6-9245-57799A6F4641}" uniqueName="10" name="DC" queryTableFieldId="10"/>
    <tableColumn id="11" xr3:uid="{F4D4EFF2-8FE1-4A94-BB63-E02840A1E5E3}" uniqueName="11" name="DE" queryTableFieldId="11"/>
    <tableColumn id="12" xr3:uid="{88D75F5B-AACD-4CE8-A677-06FD1AE1AC9C}" uniqueName="12" name="FL" queryTableFieldId="12"/>
    <tableColumn id="13" xr3:uid="{7E8FF2AC-C092-40A3-8D58-42D81F8DCFD1}" uniqueName="13" name="GA" queryTableFieldId="13"/>
    <tableColumn id="14" xr3:uid="{57B11547-98D4-4348-9E7C-9E275151F56E}" uniqueName="14" name="GU" queryTableFieldId="14"/>
    <tableColumn id="15" xr3:uid="{50A8BFD1-D083-498F-8AE4-0167BFC8809E}" uniqueName="15" name="HI" queryTableFieldId="15"/>
    <tableColumn id="16" xr3:uid="{D2931CBB-2227-4A96-8301-985DA75AD96F}" uniqueName="16" name="IA" queryTableFieldId="16"/>
    <tableColumn id="17" xr3:uid="{63E56472-C96B-42F0-A687-655BB2042894}" uniqueName="17" name="ID" queryTableFieldId="17"/>
    <tableColumn id="18" xr3:uid="{6F808D24-BDC4-42B1-A573-BC2E706685EE}" uniqueName="18" name="IL" queryTableFieldId="18"/>
    <tableColumn id="19" xr3:uid="{859F606E-1DF2-4456-9950-AC224359EB04}" uniqueName="19" name="IN" queryTableFieldId="19"/>
    <tableColumn id="20" xr3:uid="{A79E1CB0-9023-40FC-80FF-6DFDA9BC1F54}" uniqueName="20" name="KS" queryTableFieldId="20"/>
    <tableColumn id="21" xr3:uid="{08580E49-C709-4476-B929-5C443E991D3A}" uniqueName="21" name="KY" queryTableFieldId="21"/>
    <tableColumn id="22" xr3:uid="{71C8CB57-CE97-4ACD-AB72-96A55AEC7482}" uniqueName="22" name="LA" queryTableFieldId="22"/>
    <tableColumn id="23" xr3:uid="{03FBF8B1-243B-4790-82C9-917E196CBF38}" uniqueName="23" name="MA" queryTableFieldId="23"/>
    <tableColumn id="24" xr3:uid="{E301DDA6-8B66-4009-A059-AD1242AD5CCC}" uniqueName="24" name="MD" queryTableFieldId="24"/>
    <tableColumn id="25" xr3:uid="{284529C6-1E3D-47C1-ADE1-65767A57C9AA}" uniqueName="25" name="ME" queryTableFieldId="25"/>
    <tableColumn id="26" xr3:uid="{2A333C6A-2895-42BE-BC94-948634D6B99A}" uniqueName="26" name="MI" queryTableFieldId="26"/>
    <tableColumn id="27" xr3:uid="{F6605DAA-5658-499F-B1A7-69E38362E038}" uniqueName="27" name="MN" queryTableFieldId="27"/>
    <tableColumn id="28" xr3:uid="{3070A421-0C81-4C49-8E3E-CEEAC8E61B62}" uniqueName="28" name="MO" queryTableFieldId="28"/>
    <tableColumn id="29" xr3:uid="{E2CC4E0F-2751-4292-ABAB-DDE7D46A602F}" uniqueName="29" name="MP" queryTableFieldId="29"/>
    <tableColumn id="30" xr3:uid="{3B3DB00B-31D3-4378-94D6-81F91EAA2C7A}" uniqueName="30" name="MS" queryTableFieldId="30"/>
    <tableColumn id="31" xr3:uid="{33EEC08F-6303-4947-B27C-99A09F0D3828}" uniqueName="31" name="MT" queryTableFieldId="31"/>
    <tableColumn id="32" xr3:uid="{CCCAD075-C543-40E0-AE32-5523AB22EB00}" uniqueName="32" name="NC" queryTableFieldId="32"/>
    <tableColumn id="33" xr3:uid="{5ABB5733-04F4-46CF-9865-4765A73A93AE}" uniqueName="33" name="ND" queryTableFieldId="33"/>
    <tableColumn id="34" xr3:uid="{304829D5-F4C2-46A4-A1E9-E49EC157E842}" uniqueName="34" name="NE" queryTableFieldId="34"/>
    <tableColumn id="35" xr3:uid="{0E6448A0-DFFE-4542-8177-F03D3EBCCA6E}" uniqueName="35" name="NH" queryTableFieldId="35"/>
    <tableColumn id="36" xr3:uid="{5D29FD99-3230-4E59-B130-5946EC202A41}" uniqueName="36" name="NJ" queryTableFieldId="36"/>
    <tableColumn id="37" xr3:uid="{2E746DF3-53AE-4A7F-9AA3-02F222773C17}" uniqueName="37" name="NM" queryTableFieldId="37"/>
    <tableColumn id="38" xr3:uid="{DF7F8127-8186-46C3-88CA-3F347A7785CA}" uniqueName="38" name="NV" queryTableFieldId="38"/>
    <tableColumn id="39" xr3:uid="{D226CAA7-DB3F-4C90-90FD-E4AC58F604C4}" uniqueName="39" name="NY" queryTableFieldId="39"/>
    <tableColumn id="40" xr3:uid="{E2BE4E50-A879-46CF-89E2-94CC832604B0}" uniqueName="40" name="OH" queryTableFieldId="40"/>
    <tableColumn id="41" xr3:uid="{B48D017E-29B1-4815-A0AE-654F7996C1A6}" uniqueName="41" name="OK" queryTableFieldId="41"/>
    <tableColumn id="42" xr3:uid="{1F8F3926-BE6B-45A4-B69E-FEC32C638D45}" uniqueName="42" name="OR" queryTableFieldId="42"/>
    <tableColumn id="43" xr3:uid="{A8765CE8-6ACC-409E-9789-28D3091F4F06}" uniqueName="43" name="PA" queryTableFieldId="43"/>
    <tableColumn id="44" xr3:uid="{F9989DB2-82FE-4395-B70A-321053CA67CC}" uniqueName="44" name="PR" queryTableFieldId="44"/>
    <tableColumn id="45" xr3:uid="{D1B68964-F9BC-4671-B08A-609EA1FDF6DD}" uniqueName="45" name="RI" queryTableFieldId="45"/>
    <tableColumn id="46" xr3:uid="{9CE5482E-766B-4CFF-B181-BD61F9B4BD85}" uniqueName="46" name="SC" queryTableFieldId="46"/>
    <tableColumn id="47" xr3:uid="{E035DF0D-3D36-4326-9BB7-9E73B48B3DBB}" uniqueName="47" name="SD" queryTableFieldId="47"/>
    <tableColumn id="48" xr3:uid="{7393A90D-95CA-467C-B6DC-B9FBA7CC23A3}" uniqueName="48" name="TN" queryTableFieldId="48"/>
    <tableColumn id="49" xr3:uid="{D5300C41-05A8-4ACC-B443-464E156DAD8D}" uniqueName="49" name="TX" queryTableFieldId="49"/>
    <tableColumn id="50" xr3:uid="{9A12CC36-29FF-4A22-B9FE-E8C8121C166F}" uniqueName="50" name="UT" queryTableFieldId="50"/>
    <tableColumn id="51" xr3:uid="{B0C9CF3E-FBB6-42F7-B382-8C387DA4CB5E}" uniqueName="51" name="VA" queryTableFieldId="51"/>
    <tableColumn id="52" xr3:uid="{76E39F0B-8FAB-4A20-BE1A-B8AB595B3F6C}" uniqueName="52" name="VI" queryTableFieldId="52"/>
    <tableColumn id="53" xr3:uid="{557C5AF1-4644-43EE-A977-3678F1C15395}" uniqueName="53" name="VT" queryTableFieldId="53"/>
    <tableColumn id="54" xr3:uid="{B998CF77-4110-4EB8-9487-266D8EAD7A22}" uniqueName="54" name="WA" queryTableFieldId="54"/>
    <tableColumn id="55" xr3:uid="{3C416436-8C92-4F8D-A7E7-632A83AFD90D}" uniqueName="55" name="WI" queryTableFieldId="55"/>
    <tableColumn id="56" xr3:uid="{E1BC7C4D-2694-4605-8845-344E0E24FE8C}" uniqueName="56" name="WV" queryTableFieldId="56"/>
    <tableColumn id="57" xr3:uid="{BDF0E69A-ADDF-46FB-81CF-051EE6E64A90}" uniqueName="57" name="WY" queryTableFieldId="5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0B831FF-6EBB-4473-8422-1AB8E735FCED}" name="TotalHomelessVA_Transpose" displayName="TotalHomelessVA_Transpose" ref="A1:O57" tableType="queryTable" totalsRowShown="0">
  <autoFilter ref="A1:O57" xr:uid="{40B831FF-6EBB-4473-8422-1AB8E735FCED}"/>
  <tableColumns count="15">
    <tableColumn id="1" xr3:uid="{C48600B2-CAAC-48FC-9747-6B921B79EE9F}" uniqueName="1" name="States" queryTableFieldId="1" dataDxfId="1"/>
    <tableColumn id="2" xr3:uid="{33CD1746-1695-417D-A31D-B03ECE588703}" uniqueName="2" name="2011" queryTableFieldId="2"/>
    <tableColumn id="3" xr3:uid="{C04DDD64-AC6B-4D9C-8764-4249E99B2948}" uniqueName="3" name="2012" queryTableFieldId="3"/>
    <tableColumn id="4" xr3:uid="{D8680A45-27F0-4210-9535-31D09278CE4F}" uniqueName="4" name="2013" queryTableFieldId="4"/>
    <tableColumn id="5" xr3:uid="{28C5D0B1-9459-46C2-9F1E-8CCC138992E3}" uniqueName="5" name="2014" queryTableFieldId="5"/>
    <tableColumn id="6" xr3:uid="{77EDCD2C-E4B8-42E3-83A0-9389FDB4AF61}" uniqueName="6" name="2015" queryTableFieldId="6"/>
    <tableColumn id="7" xr3:uid="{0BD0B5B0-B2AD-4CA6-A644-0F3D392BAA53}" uniqueName="7" name="2016" queryTableFieldId="7"/>
    <tableColumn id="8" xr3:uid="{2EA5A2B3-861D-4CBA-8950-F84EFFB8CA0F}" uniqueName="8" name="2017" queryTableFieldId="8"/>
    <tableColumn id="9" xr3:uid="{5B11E2D3-8C0A-4ECD-BAF2-2F5BF4AAA46B}" uniqueName="9" name="2018" queryTableFieldId="9"/>
    <tableColumn id="10" xr3:uid="{7621851A-F437-41AE-8934-DF14EC65360A}" uniqueName="10" name="2019" queryTableFieldId="10"/>
    <tableColumn id="11" xr3:uid="{A70D1A88-6700-4DC6-AD09-908F376EE343}" uniqueName="11" name="2020" queryTableFieldId="11"/>
    <tableColumn id="12" xr3:uid="{CE0B437D-871A-46FF-8BE5-0E7BFCF37163}" uniqueName="12" name="2021" queryTableFieldId="12"/>
    <tableColumn id="13" xr3:uid="{4EE45900-A20C-4B7B-9546-E7CC90DDD311}" uniqueName="13" name="2022" queryTableFieldId="13"/>
    <tableColumn id="14" xr3:uid="{FEBFA11B-834E-4EEE-8FE4-30CADAE66DD1}" uniqueName="14" name="2023" queryTableFieldId="14"/>
    <tableColumn id="15" xr3:uid="{1772C531-50A2-4558-85B1-C93EAA86BAFA}" uniqueName="15" name="2024" queryTableFieldId="1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8C5CAB5-E28F-40A6-B004-16BC304C1373}" name="TotalHomelessVA" displayName="TotalHomelessVA" ref="A5:BE19" totalsRowShown="0">
  <autoFilter ref="A5:BE19" xr:uid="{28C5CAB5-E28F-40A6-B004-16BC304C1373}"/>
  <tableColumns count="57">
    <tableColumn id="1" xr3:uid="{6570BDEE-ED2B-460C-9DCE-F487CD61712E}" name="Year"/>
    <tableColumn id="2" xr3:uid="{6E4FE3D9-D8C2-4023-88FF-F6C543011659}" name="AK">
      <calculatedColumnFormula array="1">_xlfn.XLOOKUP(B$5, INDIRECT("'" &amp; $A6 &amp; "'!$A:$A"), INDIRECT("'" &amp; $A6 &amp; "'!$C:$C"), 0)</calculatedColumnFormula>
    </tableColumn>
    <tableColumn id="3" xr3:uid="{C72A5F3B-57B3-4F92-B7D8-AA72D86A9C80}" name="AL">
      <calculatedColumnFormula array="1">_xlfn.XLOOKUP(C$5, INDIRECT("'" &amp; $A6 &amp; "'!$A:$A"), INDIRECT("'" &amp; $A6 &amp; "'!$C:$C"), 0)</calculatedColumnFormula>
    </tableColumn>
    <tableColumn id="4" xr3:uid="{B6826AB5-D42C-412D-8471-C1D8A5C59522}" name="AR">
      <calculatedColumnFormula array="1">_xlfn.XLOOKUP(D$5, INDIRECT("'" &amp; $A6 &amp; "'!$A:$A"), INDIRECT("'" &amp; $A6 &amp; "'!$C:$C"), 0)</calculatedColumnFormula>
    </tableColumn>
    <tableColumn id="5" xr3:uid="{4DAF6590-414F-42C0-A359-346F7F349F4D}" name="AS">
      <calculatedColumnFormula array="1">_xlfn.XLOOKUP(E$5, INDIRECT("'" &amp; $A6 &amp; "'!$A:$A"), INDIRECT("'" &amp; $A6 &amp; "'!$C:$C"), 0)</calculatedColumnFormula>
    </tableColumn>
    <tableColumn id="6" xr3:uid="{5A6C6389-B171-480E-92DB-A30080C838CA}" name="AZ">
      <calculatedColumnFormula array="1">_xlfn.XLOOKUP(F$5, INDIRECT("'" &amp; $A6 &amp; "'!$A:$A"), INDIRECT("'" &amp; $A6 &amp; "'!$C:$C"), 0)</calculatedColumnFormula>
    </tableColumn>
    <tableColumn id="7" xr3:uid="{859CFDAF-74AA-4534-A7C3-B4F112DC66BA}" name="CA">
      <calculatedColumnFormula array="1">_xlfn.XLOOKUP(G$5, INDIRECT("'" &amp; $A6 &amp; "'!$A:$A"), INDIRECT("'" &amp; $A6 &amp; "'!$C:$C"), 0)</calculatedColumnFormula>
    </tableColumn>
    <tableColumn id="8" xr3:uid="{ED3F0579-8C8E-483B-A10E-040EA62C36DE}" name="CO">
      <calculatedColumnFormula array="1">_xlfn.XLOOKUP(H$5, INDIRECT("'" &amp; $A6 &amp; "'!$A:$A"), INDIRECT("'" &amp; $A6 &amp; "'!$C:$C"), 0)</calculatedColumnFormula>
    </tableColumn>
    <tableColumn id="9" xr3:uid="{E624FAF3-0DDF-4A67-A2D9-568E19640484}" name="CT">
      <calculatedColumnFormula array="1">_xlfn.XLOOKUP(I$5, INDIRECT("'" &amp; $A6 &amp; "'!$A:$A"), INDIRECT("'" &amp; $A6 &amp; "'!$C:$C"), 0)</calculatedColumnFormula>
    </tableColumn>
    <tableColumn id="10" xr3:uid="{FB3C4A37-0C09-49F7-8D78-FC63343068EF}" name="DC">
      <calculatedColumnFormula array="1">_xlfn.XLOOKUP(J$5, INDIRECT("'" &amp; $A6 &amp; "'!$A:$A"), INDIRECT("'" &amp; $A6 &amp; "'!$C:$C"), 0)</calculatedColumnFormula>
    </tableColumn>
    <tableColumn id="11" xr3:uid="{7DD5522C-82C7-44B1-B2DB-E564B00B50D6}" name="DE">
      <calculatedColumnFormula array="1">_xlfn.XLOOKUP(K$5, INDIRECT("'" &amp; $A6 &amp; "'!$A:$A"), INDIRECT("'" &amp; $A6 &amp; "'!$C:$C"), 0)</calculatedColumnFormula>
    </tableColumn>
    <tableColumn id="12" xr3:uid="{AD12DE99-35C2-49B6-B3FD-87476AF21038}" name="FL">
      <calculatedColumnFormula array="1">_xlfn.XLOOKUP(L$5, INDIRECT("'" &amp; $A6 &amp; "'!$A:$A"), INDIRECT("'" &amp; $A6 &amp; "'!$C:$C"), 0)</calculatedColumnFormula>
    </tableColumn>
    <tableColumn id="13" xr3:uid="{8B186F50-2A77-4847-9CBF-BD8437F4E169}" name="GA">
      <calculatedColumnFormula array="1">_xlfn.XLOOKUP(M$5, INDIRECT("'" &amp; $A6 &amp; "'!$A:$A"), INDIRECT("'" &amp; $A6 &amp; "'!$C:$C"), 0)</calculatedColumnFormula>
    </tableColumn>
    <tableColumn id="14" xr3:uid="{CFAA7715-1AE7-4051-B4F9-BFE1794FB209}" name="GU">
      <calculatedColumnFormula array="1">_xlfn.XLOOKUP(N$5, INDIRECT("'" &amp; $A6 &amp; "'!$A:$A"), INDIRECT("'" &amp; $A6 &amp; "'!$C:$C"), 0)</calculatedColumnFormula>
    </tableColumn>
    <tableColumn id="15" xr3:uid="{87D12791-E454-4623-AACD-7803CC13C8A6}" name="HI">
      <calculatedColumnFormula array="1">_xlfn.XLOOKUP(O$5, INDIRECT("'" &amp; $A6 &amp; "'!$A:$A"), INDIRECT("'" &amp; $A6 &amp; "'!$C:$C"), 0)</calculatedColumnFormula>
    </tableColumn>
    <tableColumn id="16" xr3:uid="{ACCECD81-4293-41AF-BA65-7A8090469621}" name="IA">
      <calculatedColumnFormula array="1">_xlfn.XLOOKUP(P$5, INDIRECT("'" &amp; $A6 &amp; "'!$A:$A"), INDIRECT("'" &amp; $A6 &amp; "'!$C:$C"), 0)</calculatedColumnFormula>
    </tableColumn>
    <tableColumn id="17" xr3:uid="{DE352237-A29F-4DB8-B944-813DBE98641A}" name="ID">
      <calculatedColumnFormula array="1">_xlfn.XLOOKUP(Q$5, INDIRECT("'" &amp; $A6 &amp; "'!$A:$A"), INDIRECT("'" &amp; $A6 &amp; "'!$C:$C"), 0)</calculatedColumnFormula>
    </tableColumn>
    <tableColumn id="18" xr3:uid="{CDC9CDE4-2521-4E66-8966-A8699ABF25F9}" name="IL">
      <calculatedColumnFormula array="1">_xlfn.XLOOKUP(R$5, INDIRECT("'" &amp; $A6 &amp; "'!$A:$A"), INDIRECT("'" &amp; $A6 &amp; "'!$C:$C"), 0)</calculatedColumnFormula>
    </tableColumn>
    <tableColumn id="19" xr3:uid="{E8FEDC04-2BE4-4FBF-AB9E-6BC766E20634}" name="IN">
      <calculatedColumnFormula array="1">_xlfn.XLOOKUP(S$5, INDIRECT("'" &amp; $A6 &amp; "'!$A:$A"), INDIRECT("'" &amp; $A6 &amp; "'!$C:$C"), 0)</calculatedColumnFormula>
    </tableColumn>
    <tableColumn id="20" xr3:uid="{9E6F6D44-5A5B-47D1-9F70-3197328F719F}" name="KS">
      <calculatedColumnFormula array="1">_xlfn.XLOOKUP(T$5,INDIRECT("'"&amp;$A6&amp;"'!$A:$A"),INDIRECT("'"&amp;$A6&amp;"'!$C:$C"),_xlfn.XLOOKUP("KS*",INDIRECT("'"&amp;$A6&amp;"'!$A:$A"),INDIRECT("'"&amp;$A6&amp;"'!$C:$C")))</calculatedColumnFormula>
    </tableColumn>
    <tableColumn id="21" xr3:uid="{C78789B5-E2DC-464E-BCC3-0832B08708A5}" name="KY">
      <calculatedColumnFormula array="1">_xlfn.XLOOKUP(U$5, INDIRECT("'" &amp; $A6 &amp; "'!$A:$A"), INDIRECT("'" &amp; $A6 &amp; "'!$C:$C"), 0)</calculatedColumnFormula>
    </tableColumn>
    <tableColumn id="22" xr3:uid="{64076C89-0AF9-46C8-A516-36F761A4F373}" name="LA">
      <calculatedColumnFormula array="1">_xlfn.XLOOKUP(V$5, INDIRECT("'" &amp; $A6 &amp; "'!$A:$A"), INDIRECT("'" &amp; $A6 &amp; "'!$C:$C"), 0)</calculatedColumnFormula>
    </tableColumn>
    <tableColumn id="23" xr3:uid="{2410BEF3-6D14-40DF-B704-BFDCC0E6A68D}" name="MA">
      <calculatedColumnFormula array="1">_xlfn.XLOOKUP(W$5, INDIRECT("'" &amp; $A6 &amp; "'!$A:$A"), INDIRECT("'" &amp; $A6 &amp; "'!$C:$C"), 0)</calculatedColumnFormula>
    </tableColumn>
    <tableColumn id="24" xr3:uid="{148037AD-810D-429B-8A2C-666B12C69139}" name="MD">
      <calculatedColumnFormula array="1">_xlfn.XLOOKUP(X$5, INDIRECT("'" &amp; $A6 &amp; "'!$A:$A"), INDIRECT("'" &amp; $A6 &amp; "'!$C:$C"), 0)</calculatedColumnFormula>
    </tableColumn>
    <tableColumn id="25" xr3:uid="{4A606A9F-F679-44D3-9220-D6A12FB0C924}" name="ME">
      <calculatedColumnFormula array="1">_xlfn.XLOOKUP(Y$5, INDIRECT("'" &amp; $A6 &amp; "'!$A:$A"), INDIRECT("'" &amp; $A6 &amp; "'!$C:$C"), 0)</calculatedColumnFormula>
    </tableColumn>
    <tableColumn id="26" xr3:uid="{16279B16-DE3C-461A-B489-3896A141B85E}" name="MI">
      <calculatedColumnFormula array="1">_xlfn.XLOOKUP(Z$5, INDIRECT("'" &amp; $A6 &amp; "'!$A:$A"), INDIRECT("'" &amp; $A6 &amp; "'!$C:$C"), 0)</calculatedColumnFormula>
    </tableColumn>
    <tableColumn id="27" xr3:uid="{9A3374A6-CED6-4FFB-A7D3-48B2356386D9}" name="MN">
      <calculatedColumnFormula array="1">_xlfn.XLOOKUP(AA$5, INDIRECT("'" &amp; $A6 &amp; "'!$A:$A"), INDIRECT("'" &amp; $A6 &amp; "'!$C:$C"), 0)</calculatedColumnFormula>
    </tableColumn>
    <tableColumn id="28" xr3:uid="{9BC9811F-9654-409D-AC83-C05584AB18F8}" name="MO">
      <calculatedColumnFormula array="1">_xlfn.XLOOKUP(AB$5, INDIRECT("'" &amp; $A6 &amp; "'!$A:$A"), INDIRECT("'" &amp; $A6 &amp; "'!$C:$C"), 0)</calculatedColumnFormula>
    </tableColumn>
    <tableColumn id="29" xr3:uid="{FF819886-49FD-41C0-B282-9D4A4D3CE995}" name="MP">
      <calculatedColumnFormula array="1">_xlfn.XLOOKUP(AC$5, INDIRECT("'" &amp; $A6 &amp; "'!$A:$A"), INDIRECT("'" &amp; $A6 &amp; "'!$C:$C"), 0)</calculatedColumnFormula>
    </tableColumn>
    <tableColumn id="30" xr3:uid="{B8965409-26DB-4C0E-8B3B-C745427E1198}" name="MS">
      <calculatedColumnFormula array="1">_xlfn.XLOOKUP(AD$5, INDIRECT("'" &amp; $A6 &amp; "'!$A:$A"), INDIRECT("'" &amp; $A6 &amp; "'!$C:$C"), 0)</calculatedColumnFormula>
    </tableColumn>
    <tableColumn id="31" xr3:uid="{DDAABF4D-B080-4758-BAD9-FE97EDED878C}" name="MT">
      <calculatedColumnFormula array="1">_xlfn.XLOOKUP(AE$5, INDIRECT("'" &amp; $A6 &amp; "'!$A:$A"), INDIRECT("'" &amp; $A6 &amp; "'!$C:$C"), 0)</calculatedColumnFormula>
    </tableColumn>
    <tableColumn id="32" xr3:uid="{CE62FB68-9C20-405A-A7D1-078E31F811CE}" name="NC">
      <calculatedColumnFormula array="1">_xlfn.XLOOKUP(AF$5, INDIRECT("'" &amp; $A6 &amp; "'!$A:$A"), INDIRECT("'" &amp; $A6 &amp; "'!$C:$C"), 0)</calculatedColumnFormula>
    </tableColumn>
    <tableColumn id="33" xr3:uid="{4F27984D-063A-44AC-844C-EFCC06A3A40F}" name="ND">
      <calculatedColumnFormula array="1">_xlfn.XLOOKUP(AG$5, INDIRECT("'" &amp; $A6 &amp; "'!$A:$A"), INDIRECT("'" &amp; $A6 &amp; "'!$C:$C"), 0)</calculatedColumnFormula>
    </tableColumn>
    <tableColumn id="34" xr3:uid="{E6E89767-C1B3-4F3B-9DAB-4740728213BD}" name="NE">
      <calculatedColumnFormula array="1">_xlfn.XLOOKUP(AH$5, INDIRECT("'" &amp; $A6 &amp; "'!$A:$A"), INDIRECT("'" &amp; $A6 &amp; "'!$C:$C"), 0)</calculatedColumnFormula>
    </tableColumn>
    <tableColumn id="35" xr3:uid="{1A49BA0B-AE54-4C5B-8C4B-3DD6E64E34DF}" name="NH">
      <calculatedColumnFormula array="1">_xlfn.XLOOKUP(AI$5, INDIRECT("'" &amp; $A6 &amp; "'!$A:$A"), INDIRECT("'" &amp; $A6 &amp; "'!$C:$C"), 0)</calculatedColumnFormula>
    </tableColumn>
    <tableColumn id="36" xr3:uid="{CBFADCA4-727D-4854-B274-D8860B464F88}" name="NJ">
      <calculatedColumnFormula array="1">_xlfn.XLOOKUP(AJ$5, INDIRECT("'" &amp; $A6 &amp; "'!$A:$A"), INDIRECT("'" &amp; $A6 &amp; "'!$C:$C"), 0)</calculatedColumnFormula>
    </tableColumn>
    <tableColumn id="37" xr3:uid="{826C6A9D-80E6-4DA6-9F3B-169CA6FB96A4}" name="NM">
      <calculatedColumnFormula array="1">_xlfn.XLOOKUP(AK$5, INDIRECT("'" &amp; $A6 &amp; "'!$A:$A"), INDIRECT("'" &amp; $A6 &amp; "'!$C:$C"), 0)</calculatedColumnFormula>
    </tableColumn>
    <tableColumn id="38" xr3:uid="{17AF04EB-7B7C-4844-89F3-B1AEAE0891DA}" name="NV">
      <calculatedColumnFormula array="1">_xlfn.XLOOKUP(AL$5, INDIRECT("'" &amp; $A6 &amp; "'!$A:$A"), INDIRECT("'" &amp; $A6 &amp; "'!$C:$C"), 0)</calculatedColumnFormula>
    </tableColumn>
    <tableColumn id="39" xr3:uid="{4B5D008A-D68A-449A-ADEF-4CDFCE4E54D5}" name="NY">
      <calculatedColumnFormula array="1">_xlfn.XLOOKUP(AM$5, INDIRECT("'" &amp; $A6 &amp; "'!$A:$A"), INDIRECT("'" &amp; $A6 &amp; "'!$C:$C"), 0)</calculatedColumnFormula>
    </tableColumn>
    <tableColumn id="40" xr3:uid="{FE018EA1-3304-41ED-B53F-E99BDB5D1526}" name="OH">
      <calculatedColumnFormula array="1">_xlfn.XLOOKUP(AN$5, INDIRECT("'" &amp; $A6 &amp; "'!$A:$A"), INDIRECT("'" &amp; $A6 &amp; "'!$C:$C"), 0)</calculatedColumnFormula>
    </tableColumn>
    <tableColumn id="41" xr3:uid="{C11B1FA0-99F8-4E47-A5A8-B4404C1257B8}" name="OK">
      <calculatedColumnFormula array="1">_xlfn.XLOOKUP(AO$5, INDIRECT("'" &amp; $A6 &amp; "'!$A:$A"), INDIRECT("'" &amp; $A6 &amp; "'!$C:$C"), 0)</calculatedColumnFormula>
    </tableColumn>
    <tableColumn id="42" xr3:uid="{7A93A2ED-84E3-4950-B821-FDC038FC1F8A}" name="OR">
      <calculatedColumnFormula array="1">_xlfn.XLOOKUP(AP$5, INDIRECT("'" &amp; $A6 &amp; "'!$A:$A"), INDIRECT("'" &amp; $A6 &amp; "'!$C:$C"), 0)</calculatedColumnFormula>
    </tableColumn>
    <tableColumn id="43" xr3:uid="{9D51C122-6A47-4E92-8EC3-B1AC2E22D8E2}" name="PA">
      <calculatedColumnFormula array="1">_xlfn.XLOOKUP(AQ$5, INDIRECT("'" &amp; $A6 &amp; "'!$A:$A"), INDIRECT("'" &amp; $A6 &amp; "'!$C:$C"), 0)</calculatedColumnFormula>
    </tableColumn>
    <tableColumn id="44" xr3:uid="{49C63A7A-18E6-460F-A5E7-CE8ABA8F5A39}" name="PR">
      <calculatedColumnFormula array="1">_xlfn.XLOOKUP(AR$5, INDIRECT("'" &amp; $A6 &amp; "'!$A:$A"), INDIRECT("'" &amp; $A6 &amp; "'!$C:$C"), 0)</calculatedColumnFormula>
    </tableColumn>
    <tableColumn id="45" xr3:uid="{01D12192-01D2-4AC0-91F6-44980A4D9089}" name="RI">
      <calculatedColumnFormula array="1">_xlfn.XLOOKUP(AS$5, INDIRECT("'" &amp; $A6 &amp; "'!$A:$A"), INDIRECT("'" &amp; $A6 &amp; "'!$C:$C"), 0)</calculatedColumnFormula>
    </tableColumn>
    <tableColumn id="46" xr3:uid="{96134440-5F49-4B18-9E69-5FB3E7E5E180}" name="SC">
      <calculatedColumnFormula array="1">_xlfn.XLOOKUP(AT$5, INDIRECT("'" &amp; $A6 &amp; "'!$A:$A"), INDIRECT("'" &amp; $A6 &amp; "'!$C:$C"), 0)</calculatedColumnFormula>
    </tableColumn>
    <tableColumn id="47" xr3:uid="{A867D0AA-AC22-447C-82B1-C3E034E45206}" name="SD">
      <calculatedColumnFormula array="1">_xlfn.XLOOKUP(AU$5, INDIRECT("'" &amp; $A6 &amp; "'!$A:$A"), INDIRECT("'" &amp; $A6 &amp; "'!$C:$C"), 0)</calculatedColumnFormula>
    </tableColumn>
    <tableColumn id="48" xr3:uid="{671FFBC8-84AC-4405-A9E6-69D65BC4CFDB}" name="TN">
      <calculatedColumnFormula array="1">_xlfn.XLOOKUP(AV$5, INDIRECT("'" &amp; $A6 &amp; "'!$A:$A"), INDIRECT("'" &amp; $A6 &amp; "'!$C:$C"), 0)</calculatedColumnFormula>
    </tableColumn>
    <tableColumn id="49" xr3:uid="{1563518A-416E-4897-B7BA-F5BB20B833E9}" name="TX">
      <calculatedColumnFormula array="1">_xlfn.XLOOKUP(AW$5, INDIRECT("'" &amp; $A6 &amp; "'!$A:$A"), INDIRECT("'" &amp; $A6 &amp; "'!$C:$C"), 0)</calculatedColumnFormula>
    </tableColumn>
    <tableColumn id="50" xr3:uid="{6E028FDA-38DD-47DB-80CA-8769C8435095}" name="UT">
      <calculatedColumnFormula array="1">_xlfn.XLOOKUP(AX$5, INDIRECT("'" &amp; $A6 &amp; "'!$A:$A"), INDIRECT("'" &amp; $A6 &amp; "'!$C:$C"), 0)</calculatedColumnFormula>
    </tableColumn>
    <tableColumn id="51" xr3:uid="{FDEDBF0F-B14B-45D0-AAA5-0BBD7A9907B1}" name="VA">
      <calculatedColumnFormula array="1">_xlfn.XLOOKUP(AY$5, INDIRECT("'" &amp; $A6 &amp; "'!$A:$A"), INDIRECT("'" &amp; $A6 &amp; "'!$C:$C"), 0)</calculatedColumnFormula>
    </tableColumn>
    <tableColumn id="52" xr3:uid="{EBDFF536-B256-47A5-A7C0-B90618758FE2}" name="VI">
      <calculatedColumnFormula array="1">_xlfn.XLOOKUP(AZ$5, INDIRECT("'" &amp; $A6 &amp; "'!$A:$A"), INDIRECT("'" &amp; $A6 &amp; "'!$C:$C"), 0)</calculatedColumnFormula>
    </tableColumn>
    <tableColumn id="53" xr3:uid="{3D86318D-DF23-4A5E-9120-0DF0E2CD8236}" name="VT">
      <calculatedColumnFormula array="1">_xlfn.XLOOKUP(BA$5, INDIRECT("'" &amp; $A6 &amp; "'!$A:$A"), INDIRECT("'" &amp; $A6 &amp; "'!$C:$C"), 0)</calculatedColumnFormula>
    </tableColumn>
    <tableColumn id="54" xr3:uid="{ECB0CC01-7A87-4F75-8417-3B1D44606D7B}" name="WA">
      <calculatedColumnFormula array="1">_xlfn.XLOOKUP(BB$5, INDIRECT("'" &amp; $A6 &amp; "'!$A:$A"), INDIRECT("'" &amp; $A6 &amp; "'!$C:$C"), 0)</calculatedColumnFormula>
    </tableColumn>
    <tableColumn id="55" xr3:uid="{33E47AB4-F3B6-45BB-B5D1-A49BAFE5D769}" name="WI">
      <calculatedColumnFormula array="1">_xlfn.XLOOKUP(BC$5, INDIRECT("'" &amp; $A6 &amp; "'!$A:$A"), INDIRECT("'" &amp; $A6 &amp; "'!$C:$C"), 0)</calculatedColumnFormula>
    </tableColumn>
    <tableColumn id="56" xr3:uid="{8428EE31-D845-4B02-97FC-DA518473E0AA}" name="WV">
      <calculatedColumnFormula array="1">_xlfn.XLOOKUP(BD$5, INDIRECT("'" &amp; $A6 &amp; "'!$A:$A"), INDIRECT("'" &amp; $A6 &amp; "'!$C:$C"), 0)</calculatedColumnFormula>
    </tableColumn>
    <tableColumn id="57" xr3:uid="{4239FE4B-ACD3-421E-8C22-551E0CE38A26}" name="WY">
      <calculatedColumnFormula array="1">_xlfn.XLOOKUP(BE$5, INDIRECT("'" &amp; $A6 &amp; "'!$A:$A"), INDIRECT("'" &amp; $A6 &amp; "'!$C:$C"), 0)</calculatedColumnFormula>
    </tableColumn>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B6688C-5A4C-4E6E-9D68-7C9C66816586}" name="Table2" displayName="Table2" ref="A1:H58" totalsRowShown="0" headerRowDxfId="12" dataDxfId="13" headerRowBorderDxfId="22" tableBorderDxfId="23">
  <autoFilter ref="A1:H58" xr:uid="{2CB6688C-5A4C-4E6E-9D68-7C9C66816586}"/>
  <tableColumns count="8">
    <tableColumn id="1" xr3:uid="{761DEA3D-55E4-49DA-BA51-223755A107B9}" name="State" dataDxfId="21"/>
    <tableColumn id="2" xr3:uid="{8F400C4A-FCCA-4E13-B9CD-607626CBE0D2}" name="Number of CoCs" dataDxfId="20"/>
    <tableColumn id="3" xr3:uid="{35559D06-E790-4161-95E6-026D872DF6AF}" name="Homeless Veterans, 2024" dataDxfId="19"/>
    <tableColumn id="4" xr3:uid="{9F5C0A69-E89D-4A85-A537-45584404E9CB}" name="Sheltered ES Homeless Veterans, 2024" dataDxfId="18"/>
    <tableColumn id="5" xr3:uid="{D4D279B0-F6D9-4303-8A9F-5D124E259B47}" name="Sheltered TH Homeless Veterans, 2024" dataDxfId="17"/>
    <tableColumn id="6" xr3:uid="{F0DDE66E-16D2-4DA8-9026-666241A19784}" name="Sheltered SH Homeless Veterans, 2024" dataDxfId="16"/>
    <tableColumn id="7" xr3:uid="{67D6F85C-D7C0-45EB-8B6E-0ADFED618247}" name="Sheltered Total Homeless Veterans, 2024" dataDxfId="15"/>
    <tableColumn id="8" xr3:uid="{CC2599CF-D844-4C5D-98A5-8BDECEC7C379}" name="Unsheltered Homeless Veterans, 2024" dataDxfId="1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A71D0C-B25B-476D-8A85-921B8955AF56}" name="Table1" displayName="Table1" ref="A1:H58" totalsRowShown="0" headerRowDxfId="24" dataDxfId="25" headerRowBorderDxfId="34" tableBorderDxfId="35">
  <autoFilter ref="A1:H58" xr:uid="{92A71D0C-B25B-476D-8A85-921B8955AF56}"/>
  <tableColumns count="8">
    <tableColumn id="1" xr3:uid="{9742E03A-A8DC-449B-A5E0-3CA8B43DC24E}" name="State" dataDxfId="33"/>
    <tableColumn id="2" xr3:uid="{3BE59F22-18EF-45F2-947D-25CFA1D441EA}" name="Number of CoCs" dataDxfId="32"/>
    <tableColumn id="3" xr3:uid="{C33A72B8-75DE-43CB-98BF-1A8DA781666A}" name="Homeless Veterans, 2023" dataDxfId="31"/>
    <tableColumn id="4" xr3:uid="{9C6023A0-6C4C-431F-830C-AAFE42B942F2}" name="Sheltered ES Homeless Veterans, 2023" dataDxfId="30"/>
    <tableColumn id="5" xr3:uid="{A6A1D636-A0AD-4374-9ABD-1F04EC23CE64}" name="Sheltered TH Homeless Veterans, 2023" dataDxfId="29"/>
    <tableColumn id="6" xr3:uid="{BBEA5046-D837-4191-B1A4-B923ED85261F}" name="Sheltered SH Homeless Veterans, 2023" dataDxfId="28"/>
    <tableColumn id="7" xr3:uid="{7E3D870F-0663-4D10-9420-DBB478B62C23}" name="Sheltered Total Homeless Veterans, 2023" dataDxfId="27"/>
    <tableColumn id="8" xr3:uid="{D12D006B-394C-4BB7-993F-0A51DD934A02}" name="Unsheltered Homeless Veterans, 2023" dataDxfId="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n.wikipedia.org/wiki/New_England" TargetMode="Externa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hyperlink" Target="https://en.wikipedia.org/wiki/United_States" TargetMode="External"/><Relationship Id="rId4" Type="http://schemas.openxmlformats.org/officeDocument/2006/relationships/hyperlink" Target="https://en.wikipedia.org/wiki/Mid-Atlantic_(United_State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71784-BA5B-41D5-92E9-B940B65D5FF7}">
  <dimension ref="A1:Z49"/>
  <sheetViews>
    <sheetView tabSelected="1" zoomScale="130" zoomScaleNormal="130" workbookViewId="0">
      <selection activeCell="C24" sqref="C24"/>
    </sheetView>
  </sheetViews>
  <sheetFormatPr defaultRowHeight="15" x14ac:dyDescent="0.25"/>
  <cols>
    <col min="1" max="1" width="19" bestFit="1" customWidth="1"/>
    <col min="2" max="2" width="26.5703125" bestFit="1" customWidth="1"/>
    <col min="3" max="4" width="9.7109375" bestFit="1" customWidth="1"/>
    <col min="5" max="15" width="4" bestFit="1" customWidth="1"/>
    <col min="16" max="16" width="11.28515625" bestFit="1" customWidth="1"/>
    <col min="25" max="25" width="20.85546875" customWidth="1"/>
    <col min="26" max="26" width="26.85546875" customWidth="1"/>
  </cols>
  <sheetData>
    <row r="1" spans="1:4" x14ac:dyDescent="0.25">
      <c r="A1" t="s">
        <v>202</v>
      </c>
      <c r="B1" t="s">
        <v>203</v>
      </c>
    </row>
    <row r="2" spans="1:4" x14ac:dyDescent="0.25">
      <c r="B2" t="s">
        <v>205</v>
      </c>
    </row>
    <row r="3" spans="1:4" x14ac:dyDescent="0.25">
      <c r="A3" s="20" t="s">
        <v>169</v>
      </c>
      <c r="B3" t="s">
        <v>172</v>
      </c>
      <c r="C3" t="s">
        <v>171</v>
      </c>
      <c r="D3" t="s">
        <v>173</v>
      </c>
    </row>
    <row r="4" spans="1:4" x14ac:dyDescent="0.25">
      <c r="A4" s="21">
        <v>2011</v>
      </c>
      <c r="B4" s="18">
        <v>16783</v>
      </c>
      <c r="C4" s="18">
        <v>659</v>
      </c>
      <c r="D4" s="18">
        <v>5644</v>
      </c>
    </row>
    <row r="5" spans="1:4" x14ac:dyDescent="0.25">
      <c r="A5" s="21">
        <v>2012</v>
      </c>
      <c r="B5" s="18">
        <v>14611</v>
      </c>
      <c r="C5" s="18">
        <v>526</v>
      </c>
      <c r="D5" s="18">
        <v>5331</v>
      </c>
    </row>
    <row r="6" spans="1:4" x14ac:dyDescent="0.25">
      <c r="A6" s="21">
        <v>2013</v>
      </c>
      <c r="B6" s="18">
        <v>12895</v>
      </c>
      <c r="C6" s="18">
        <v>511</v>
      </c>
      <c r="D6" s="18">
        <v>5505</v>
      </c>
    </row>
    <row r="7" spans="1:4" x14ac:dyDescent="0.25">
      <c r="A7" s="21">
        <v>2014</v>
      </c>
      <c r="B7" s="18">
        <v>12096</v>
      </c>
      <c r="C7" s="18">
        <v>542</v>
      </c>
      <c r="D7" s="18">
        <v>4552</v>
      </c>
    </row>
    <row r="8" spans="1:4" x14ac:dyDescent="0.25">
      <c r="A8" s="21">
        <v>2015</v>
      </c>
      <c r="B8" s="18">
        <v>11311</v>
      </c>
      <c r="C8" s="18">
        <v>474</v>
      </c>
      <c r="D8" s="18">
        <v>3926</v>
      </c>
    </row>
    <row r="9" spans="1:4" x14ac:dyDescent="0.25">
      <c r="A9" s="21">
        <v>2016</v>
      </c>
      <c r="B9" s="18">
        <v>9612</v>
      </c>
      <c r="C9" s="18">
        <v>373</v>
      </c>
      <c r="D9" s="18">
        <v>2902</v>
      </c>
    </row>
    <row r="10" spans="1:4" x14ac:dyDescent="0.25">
      <c r="A10" s="21">
        <v>2017</v>
      </c>
      <c r="B10" s="18">
        <v>11436</v>
      </c>
      <c r="C10" s="18">
        <v>269</v>
      </c>
      <c r="D10" s="18">
        <v>2817</v>
      </c>
    </row>
    <row r="11" spans="1:4" x14ac:dyDescent="0.25">
      <c r="A11" s="21">
        <v>2018</v>
      </c>
      <c r="B11" s="18">
        <v>10836</v>
      </c>
      <c r="C11" s="18">
        <v>339</v>
      </c>
      <c r="D11" s="18">
        <v>2543</v>
      </c>
    </row>
    <row r="12" spans="1:4" x14ac:dyDescent="0.25">
      <c r="A12" s="21">
        <v>2019</v>
      </c>
      <c r="B12" s="18">
        <v>10980</v>
      </c>
      <c r="C12" s="18">
        <v>292</v>
      </c>
      <c r="D12" s="18">
        <v>2472</v>
      </c>
    </row>
    <row r="13" spans="1:4" x14ac:dyDescent="0.25">
      <c r="A13" s="21">
        <v>2020</v>
      </c>
      <c r="B13" s="18">
        <v>11401</v>
      </c>
      <c r="C13" s="18">
        <v>329</v>
      </c>
      <c r="D13" s="18">
        <v>2436</v>
      </c>
    </row>
    <row r="14" spans="1:4" x14ac:dyDescent="0.25">
      <c r="A14" s="21">
        <v>2021</v>
      </c>
      <c r="B14" s="18">
        <v>3351</v>
      </c>
      <c r="C14" s="18">
        <v>241</v>
      </c>
      <c r="D14" s="18">
        <v>2011</v>
      </c>
    </row>
    <row r="15" spans="1:4" x14ac:dyDescent="0.25">
      <c r="A15" s="21">
        <v>2022</v>
      </c>
      <c r="B15" s="18">
        <v>10395</v>
      </c>
      <c r="C15" s="18">
        <v>308</v>
      </c>
      <c r="D15" s="18">
        <v>2279</v>
      </c>
    </row>
    <row r="16" spans="1:4" x14ac:dyDescent="0.25">
      <c r="A16" s="21">
        <v>2023</v>
      </c>
      <c r="B16" s="18">
        <v>10589</v>
      </c>
      <c r="C16" s="18">
        <v>291</v>
      </c>
      <c r="D16" s="18">
        <v>2558</v>
      </c>
    </row>
    <row r="17" spans="1:26" x14ac:dyDescent="0.25">
      <c r="A17" s="21">
        <v>2024</v>
      </c>
      <c r="B17" s="18">
        <v>9310</v>
      </c>
      <c r="C17" s="18">
        <v>291</v>
      </c>
      <c r="D17" s="18">
        <v>2333</v>
      </c>
    </row>
    <row r="18" spans="1:26" x14ac:dyDescent="0.25">
      <c r="A18" s="21" t="s">
        <v>170</v>
      </c>
      <c r="B18" s="18">
        <v>155606</v>
      </c>
      <c r="C18" s="18">
        <v>5445</v>
      </c>
      <c r="D18" s="18">
        <v>47309</v>
      </c>
    </row>
    <row r="26" spans="1:26" x14ac:dyDescent="0.25">
      <c r="Y26" t="s">
        <v>204</v>
      </c>
    </row>
    <row r="27" spans="1:26" x14ac:dyDescent="0.25">
      <c r="A27" s="20" t="s">
        <v>194</v>
      </c>
      <c r="B27" t="s">
        <v>195</v>
      </c>
      <c r="Y27" s="22" t="s">
        <v>194</v>
      </c>
      <c r="Z27" s="22" t="s">
        <v>195</v>
      </c>
    </row>
    <row r="28" spans="1:26" x14ac:dyDescent="0.25">
      <c r="A28" s="21" t="s">
        <v>22</v>
      </c>
      <c r="B28" s="18">
        <v>174</v>
      </c>
      <c r="Y28" s="21" t="s">
        <v>22</v>
      </c>
      <c r="Z28" s="18">
        <v>174</v>
      </c>
    </row>
    <row r="29" spans="1:26" x14ac:dyDescent="0.25">
      <c r="A29" s="21" t="s">
        <v>36</v>
      </c>
      <c r="B29" s="18">
        <v>550</v>
      </c>
      <c r="Y29" s="21" t="s">
        <v>36</v>
      </c>
      <c r="Z29" s="18">
        <v>550</v>
      </c>
    </row>
    <row r="30" spans="1:26" x14ac:dyDescent="0.25">
      <c r="A30" s="21" t="s">
        <v>38</v>
      </c>
      <c r="B30" s="18">
        <v>115</v>
      </c>
      <c r="Y30" s="21" t="s">
        <v>38</v>
      </c>
      <c r="Z30" s="18">
        <v>115</v>
      </c>
    </row>
    <row r="31" spans="1:26" x14ac:dyDescent="0.25">
      <c r="A31" s="21" t="s">
        <v>48</v>
      </c>
      <c r="B31" s="18">
        <v>128</v>
      </c>
      <c r="Y31" s="21" t="s">
        <v>48</v>
      </c>
      <c r="Z31" s="18">
        <v>128</v>
      </c>
    </row>
    <row r="32" spans="1:26" x14ac:dyDescent="0.25">
      <c r="A32" s="21" t="s">
        <v>49</v>
      </c>
      <c r="B32" s="18">
        <v>521</v>
      </c>
      <c r="Y32" s="21" t="s">
        <v>49</v>
      </c>
      <c r="Z32" s="18">
        <v>521</v>
      </c>
    </row>
    <row r="33" spans="1:26" x14ac:dyDescent="0.25">
      <c r="A33" s="21" t="s">
        <v>52</v>
      </c>
      <c r="B33" s="18">
        <v>1180</v>
      </c>
      <c r="Y33" s="21" t="s">
        <v>52</v>
      </c>
      <c r="Z33" s="18">
        <v>1180</v>
      </c>
    </row>
    <row r="34" spans="1:26" x14ac:dyDescent="0.25">
      <c r="A34" s="21" t="s">
        <v>56</v>
      </c>
      <c r="B34" s="18">
        <v>719</v>
      </c>
      <c r="Y34" s="21" t="s">
        <v>56</v>
      </c>
      <c r="Z34" s="18">
        <v>719</v>
      </c>
    </row>
    <row r="35" spans="1:26" x14ac:dyDescent="0.25">
      <c r="A35" s="21" t="s">
        <v>58</v>
      </c>
      <c r="B35" s="18">
        <v>130</v>
      </c>
      <c r="Y35" s="21" t="s">
        <v>58</v>
      </c>
      <c r="Z35" s="18">
        <v>130</v>
      </c>
    </row>
    <row r="36" spans="1:26" x14ac:dyDescent="0.25">
      <c r="A36" s="21" t="s">
        <v>66</v>
      </c>
      <c r="B36" s="18">
        <v>108</v>
      </c>
      <c r="Y36" s="21" t="s">
        <v>66</v>
      </c>
      <c r="Z36" s="18">
        <v>108</v>
      </c>
    </row>
    <row r="37" spans="1:26" x14ac:dyDescent="0.25">
      <c r="A37" s="21" t="s">
        <v>170</v>
      </c>
      <c r="B37" s="18">
        <v>3625</v>
      </c>
    </row>
    <row r="45" spans="1:26" ht="15.75" thickBot="1" x14ac:dyDescent="0.3"/>
    <row r="46" spans="1:26" x14ac:dyDescent="0.25">
      <c r="Y46" s="31" t="s">
        <v>196</v>
      </c>
      <c r="Z46" s="25" t="s">
        <v>197</v>
      </c>
    </row>
    <row r="47" spans="1:26" x14ac:dyDescent="0.25">
      <c r="Y47" s="32"/>
      <c r="Z47" s="26" t="s">
        <v>198</v>
      </c>
    </row>
    <row r="48" spans="1:26" x14ac:dyDescent="0.25">
      <c r="Y48" s="27" t="s">
        <v>199</v>
      </c>
      <c r="Z48" s="28" t="s">
        <v>200</v>
      </c>
    </row>
    <row r="49" spans="25:26" ht="86.25" thickBot="1" x14ac:dyDescent="0.3">
      <c r="Y49" s="29" t="s">
        <v>179</v>
      </c>
      <c r="Z49" s="30" t="s">
        <v>201</v>
      </c>
    </row>
  </sheetData>
  <mergeCells count="1">
    <mergeCell ref="Y46:Y47"/>
  </mergeCells>
  <hyperlinks>
    <hyperlink ref="Z46" r:id="rId3" tooltip="New England" display="https://en.wikipedia.org/wiki/New_England" xr:uid="{CEE9D8A1-AD96-4C72-BDAB-FA5ACFAE6033}"/>
    <hyperlink ref="Z47" r:id="rId4" tooltip="Mid-Atlantic (United States)" display="https://en.wikipedia.org/wiki/Mid-Atlantic_(United_States)" xr:uid="{6F75609E-7EAB-43B2-8314-608A1922CA01}"/>
    <hyperlink ref="Z48" r:id="rId5" tooltip="United States" display="https://en.wikipedia.org/wiki/United_States" xr:uid="{DE3128F4-0C4A-4153-98EC-B5818DC72F89}"/>
  </hyperlink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7C71-E8C7-4EDC-8220-07C5C643FEC1}">
  <dimension ref="A1:C7"/>
  <sheetViews>
    <sheetView workbookViewId="0"/>
  </sheetViews>
  <sheetFormatPr defaultRowHeight="15" x14ac:dyDescent="0.25"/>
  <cols>
    <col min="1" max="1" width="14.7109375" bestFit="1" customWidth="1"/>
    <col min="2" max="2" width="24.140625" bestFit="1" customWidth="1"/>
    <col min="3" max="3" width="14.42578125" bestFit="1" customWidth="1"/>
  </cols>
  <sheetData>
    <row r="1" spans="1:3" x14ac:dyDescent="0.25">
      <c r="A1" t="s">
        <v>166</v>
      </c>
      <c r="B1" t="s">
        <v>167</v>
      </c>
      <c r="C1" t="s">
        <v>156</v>
      </c>
    </row>
    <row r="2" spans="1:3" x14ac:dyDescent="0.25">
      <c r="A2" s="18" t="s">
        <v>17</v>
      </c>
      <c r="B2" s="18" t="s">
        <v>158</v>
      </c>
      <c r="C2" s="18" t="s">
        <v>159</v>
      </c>
    </row>
    <row r="3" spans="1:3" x14ac:dyDescent="0.25">
      <c r="A3" s="18" t="s">
        <v>23</v>
      </c>
      <c r="B3" s="18" t="s">
        <v>160</v>
      </c>
      <c r="C3" s="18" t="s">
        <v>161</v>
      </c>
    </row>
    <row r="4" spans="1:3" x14ac:dyDescent="0.25">
      <c r="A4" s="18" t="s">
        <v>27</v>
      </c>
      <c r="B4" s="18" t="s">
        <v>162</v>
      </c>
      <c r="C4" s="18" t="s">
        <v>159</v>
      </c>
    </row>
    <row r="5" spans="1:3" x14ac:dyDescent="0.25">
      <c r="A5" s="18" t="s">
        <v>42</v>
      </c>
      <c r="B5" s="18" t="s">
        <v>163</v>
      </c>
      <c r="C5" s="18" t="s">
        <v>159</v>
      </c>
    </row>
    <row r="6" spans="1:3" x14ac:dyDescent="0.25">
      <c r="A6" s="18" t="s">
        <v>57</v>
      </c>
      <c r="B6" s="18" t="s">
        <v>164</v>
      </c>
      <c r="C6" s="18" t="s">
        <v>159</v>
      </c>
    </row>
    <row r="7" spans="1:3" x14ac:dyDescent="0.25">
      <c r="A7" s="18" t="s">
        <v>65</v>
      </c>
      <c r="B7" s="18" t="s">
        <v>165</v>
      </c>
      <c r="C7" s="18" t="s">
        <v>159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A2F67-72E7-4FA0-8761-B846C613D0E9}">
  <dimension ref="A1:N59"/>
  <sheetViews>
    <sheetView workbookViewId="0">
      <selection activeCell="C56" sqref="C56"/>
    </sheetView>
  </sheetViews>
  <sheetFormatPr defaultRowHeight="15" x14ac:dyDescent="0.25"/>
  <cols>
    <col min="1" max="1" width="11.42578125" style="1" bestFit="1" customWidth="1"/>
    <col min="2" max="14" width="17.140625" style="1" bestFit="1" customWidth="1"/>
    <col min="15" max="16384" width="9.140625" style="1"/>
  </cols>
  <sheetData>
    <row r="1" spans="1:14" ht="51.75" x14ac:dyDescent="0.25">
      <c r="A1" s="2"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25">
      <c r="A2" s="4" t="s">
        <v>14</v>
      </c>
      <c r="B2" s="5">
        <v>-0.10924399999999999</v>
      </c>
      <c r="C2" s="5">
        <v>-0.208955</v>
      </c>
      <c r="D2" s="5">
        <v>1.9444444000000001</v>
      </c>
      <c r="E2" s="5">
        <v>0.12765960000000001</v>
      </c>
      <c r="F2" s="5">
        <v>-4.5045000000000002E-2</v>
      </c>
      <c r="G2" s="5">
        <v>-0.19697000000000001</v>
      </c>
      <c r="H2" s="5">
        <v>-0.14516100000000001</v>
      </c>
      <c r="I2" s="5">
        <v>-0.36904799999999999</v>
      </c>
      <c r="J2" s="5">
        <v>-0.411111</v>
      </c>
      <c r="K2" s="5">
        <v>-0.40449400000000002</v>
      </c>
      <c r="L2" s="5">
        <v>-0.49523800000000001</v>
      </c>
      <c r="M2" s="5">
        <v>-0.58593799999999996</v>
      </c>
      <c r="N2" s="5">
        <v>-0.63194399999999995</v>
      </c>
    </row>
    <row r="3" spans="1:14" x14ac:dyDescent="0.25">
      <c r="A3" s="4" t="s">
        <v>15</v>
      </c>
      <c r="B3" s="5">
        <v>0</v>
      </c>
      <c r="C3" s="5">
        <v>-5.5195000000000001E-2</v>
      </c>
      <c r="D3" s="5">
        <v>0.20746890000000001</v>
      </c>
      <c r="E3" s="5">
        <v>-0.11550199999999999</v>
      </c>
      <c r="F3" s="5">
        <v>-3.4250000000000001E-3</v>
      </c>
      <c r="G3" s="5">
        <v>-0.141593</v>
      </c>
      <c r="H3" s="5">
        <v>8.1784399999999993E-2</v>
      </c>
      <c r="I3" s="5">
        <v>-0.21983900000000001</v>
      </c>
      <c r="J3" s="5">
        <v>-0.38607599999999997</v>
      </c>
      <c r="K3" s="5">
        <v>-0.46310000000000001</v>
      </c>
      <c r="L3" s="5">
        <v>-0.43052800000000002</v>
      </c>
      <c r="M3" s="5">
        <v>-0.446768</v>
      </c>
      <c r="N3" s="5">
        <v>-0.55842199999999997</v>
      </c>
    </row>
    <row r="4" spans="1:14" x14ac:dyDescent="0.25">
      <c r="A4" s="4" t="s">
        <v>16</v>
      </c>
      <c r="B4" s="5">
        <v>0.102439</v>
      </c>
      <c r="C4" s="5">
        <v>1.4565216999999999</v>
      </c>
      <c r="D4" s="5">
        <v>1.2156863</v>
      </c>
      <c r="E4" s="5">
        <v>0.20212769999999999</v>
      </c>
      <c r="F4" s="5">
        <v>-5.042E-2</v>
      </c>
      <c r="G4" s="5">
        <v>-9.9601999999999996E-2</v>
      </c>
      <c r="H4" s="5">
        <v>-5.4392999999999997E-2</v>
      </c>
      <c r="I4" s="5">
        <v>1.8017999999999999E-2</v>
      </c>
      <c r="J4" s="5">
        <v>-0.504386</v>
      </c>
      <c r="K4" s="5">
        <v>-0.37396099999999999</v>
      </c>
      <c r="L4" s="5">
        <v>-0.51082300000000003</v>
      </c>
      <c r="M4" s="5">
        <v>-0.375691</v>
      </c>
      <c r="N4" s="5">
        <v>-0.45012200000000002</v>
      </c>
    </row>
    <row r="5" spans="1:14" x14ac:dyDescent="0.25">
      <c r="A5" s="4" t="s">
        <v>17</v>
      </c>
      <c r="B5" s="5" t="s">
        <v>18</v>
      </c>
      <c r="C5" s="5" t="s">
        <v>18</v>
      </c>
      <c r="D5" s="5" t="s">
        <v>18</v>
      </c>
      <c r="E5" s="5" t="s">
        <v>18</v>
      </c>
      <c r="F5" s="5" t="s">
        <v>18</v>
      </c>
      <c r="G5" s="5" t="s">
        <v>18</v>
      </c>
      <c r="H5" s="5" t="s">
        <v>18</v>
      </c>
      <c r="I5" s="5" t="s">
        <v>18</v>
      </c>
      <c r="J5" s="5" t="s">
        <v>18</v>
      </c>
      <c r="K5" s="5" t="s">
        <v>18</v>
      </c>
      <c r="L5" s="5" t="s">
        <v>18</v>
      </c>
      <c r="M5" s="5" t="s">
        <v>18</v>
      </c>
      <c r="N5" s="5" t="s">
        <v>18</v>
      </c>
    </row>
    <row r="6" spans="1:14" x14ac:dyDescent="0.25">
      <c r="A6" s="4" t="s">
        <v>19</v>
      </c>
      <c r="B6" s="5">
        <v>6.6523600000000002E-2</v>
      </c>
      <c r="C6" s="5">
        <v>0.15986</v>
      </c>
      <c r="D6" s="5">
        <v>0.56043960000000004</v>
      </c>
      <c r="E6" s="5">
        <v>7.9261700000000004E-2</v>
      </c>
      <c r="F6" s="5">
        <v>9.2307700000000006E-2</v>
      </c>
      <c r="G6" s="5">
        <v>0.11310190000000001</v>
      </c>
      <c r="H6" s="5">
        <v>2.4742299999999998E-2</v>
      </c>
      <c r="I6" s="5">
        <v>-4.0541000000000001E-2</v>
      </c>
      <c r="J6" s="5">
        <v>-0.18524599999999999</v>
      </c>
      <c r="K6" s="5">
        <v>0.15850819999999999</v>
      </c>
      <c r="L6" s="5">
        <v>-0.18657899999999999</v>
      </c>
      <c r="M6" s="5">
        <v>-0.32746999999999998</v>
      </c>
      <c r="N6" s="5">
        <v>-0.34947600000000001</v>
      </c>
    </row>
    <row r="7" spans="1:14" x14ac:dyDescent="0.25">
      <c r="A7" s="4" t="s">
        <v>20</v>
      </c>
      <c r="B7" s="5">
        <v>-0.120786</v>
      </c>
      <c r="C7" s="5">
        <v>-0.104377</v>
      </c>
      <c r="D7" s="5">
        <v>1.7782751000000001</v>
      </c>
      <c r="E7" s="5">
        <v>-0.18340500000000001</v>
      </c>
      <c r="F7" s="5">
        <v>-0.15209500000000001</v>
      </c>
      <c r="G7" s="5">
        <v>-0.14082700000000001</v>
      </c>
      <c r="H7" s="5">
        <v>-0.18590400000000001</v>
      </c>
      <c r="I7" s="5">
        <v>-3.1419000000000002E-2</v>
      </c>
      <c r="J7" s="5">
        <v>-0.17690700000000001</v>
      </c>
      <c r="K7" s="5">
        <v>-0.230324</v>
      </c>
      <c r="L7" s="5">
        <v>-0.27801500000000001</v>
      </c>
      <c r="M7" s="5">
        <v>-0.36280899999999999</v>
      </c>
      <c r="N7" s="5">
        <v>-0.445272</v>
      </c>
    </row>
    <row r="8" spans="1:14" x14ac:dyDescent="0.25">
      <c r="A8" s="4" t="s">
        <v>21</v>
      </c>
      <c r="B8" s="5">
        <v>-4.3053000000000001E-2</v>
      </c>
      <c r="C8" s="5">
        <v>0.32520329999999997</v>
      </c>
      <c r="D8" s="5">
        <v>0.52336450000000001</v>
      </c>
      <c r="E8" s="5">
        <v>-6.3217999999999996E-2</v>
      </c>
      <c r="F8" s="5">
        <v>-8.4269999999999998E-2</v>
      </c>
      <c r="G8" s="5">
        <v>-8.8537000000000005E-2</v>
      </c>
      <c r="H8" s="5">
        <v>-9.2763999999999999E-2</v>
      </c>
      <c r="I8" s="5">
        <v>-0.17188800000000001</v>
      </c>
      <c r="J8" s="5">
        <v>2.9473699999999999E-2</v>
      </c>
      <c r="K8" s="5">
        <v>0.29880479999999998</v>
      </c>
      <c r="L8" s="5">
        <v>0.42773719999999998</v>
      </c>
      <c r="M8" s="5">
        <v>-0.35317500000000002</v>
      </c>
      <c r="N8" s="5">
        <v>-0.528447</v>
      </c>
    </row>
    <row r="9" spans="1:14" x14ac:dyDescent="0.25">
      <c r="A9" s="4" t="s">
        <v>22</v>
      </c>
      <c r="B9" s="5">
        <v>5.4545499999999997E-2</v>
      </c>
      <c r="C9" s="5">
        <v>0.1677852</v>
      </c>
      <c r="D9" s="5">
        <v>0.39200000000000002</v>
      </c>
      <c r="E9" s="5">
        <v>-0.12562799999999999</v>
      </c>
      <c r="F9" s="5">
        <v>-0.107692</v>
      </c>
      <c r="G9" s="5">
        <v>-8.4210999999999994E-2</v>
      </c>
      <c r="H9" s="5">
        <v>-8.9005000000000001E-2</v>
      </c>
      <c r="I9" s="5">
        <v>-0.19444400000000001</v>
      </c>
      <c r="J9" s="5">
        <v>-0.38297900000000001</v>
      </c>
      <c r="K9" s="5">
        <v>-0.41016900000000001</v>
      </c>
      <c r="L9" s="5">
        <v>-0.489736</v>
      </c>
      <c r="M9" s="5">
        <v>-0.47590399999999999</v>
      </c>
      <c r="N9" s="5">
        <v>-0.60722299999999996</v>
      </c>
    </row>
    <row r="10" spans="1:14" x14ac:dyDescent="0.25">
      <c r="A10" s="4" t="s">
        <v>23</v>
      </c>
      <c r="B10" s="5">
        <v>-2.2936000000000002E-2</v>
      </c>
      <c r="C10" s="5">
        <v>2.4038500000000001E-2</v>
      </c>
      <c r="D10" s="5">
        <v>0.13903740000000001</v>
      </c>
      <c r="E10" s="5">
        <v>-0.29470200000000002</v>
      </c>
      <c r="F10" s="5">
        <v>-0.28282800000000002</v>
      </c>
      <c r="G10" s="5">
        <v>-0.30392200000000003</v>
      </c>
      <c r="H10" s="5">
        <v>-0.25263200000000002</v>
      </c>
      <c r="I10" s="5">
        <v>-0.39142900000000003</v>
      </c>
      <c r="J10" s="5">
        <v>-0.477941</v>
      </c>
      <c r="K10" s="5">
        <v>-0.47536899999999999</v>
      </c>
      <c r="L10" s="5">
        <v>-0.57314600000000004</v>
      </c>
      <c r="M10" s="5">
        <v>-0.59887000000000001</v>
      </c>
      <c r="N10" s="5">
        <v>-0.58640800000000004</v>
      </c>
    </row>
    <row r="11" spans="1:14" x14ac:dyDescent="0.25">
      <c r="A11" s="4" t="s">
        <v>24</v>
      </c>
      <c r="B11" s="5">
        <v>0.12658230000000001</v>
      </c>
      <c r="C11" s="5">
        <v>-4.3011000000000001E-2</v>
      </c>
      <c r="D11" s="5">
        <v>0.20270270000000001</v>
      </c>
      <c r="E11" s="5">
        <v>0.1410256</v>
      </c>
      <c r="F11" s="5">
        <v>0.36923080000000003</v>
      </c>
      <c r="G11" s="5">
        <v>0.27142860000000002</v>
      </c>
      <c r="H11" s="5">
        <v>-2.1978000000000001E-2</v>
      </c>
      <c r="I11" s="5">
        <v>-0.16822400000000001</v>
      </c>
      <c r="J11" s="5">
        <v>0.12658230000000001</v>
      </c>
      <c r="K11" s="5">
        <v>-4.3011000000000001E-2</v>
      </c>
      <c r="L11" s="5">
        <v>0</v>
      </c>
      <c r="M11" s="5">
        <v>0.34848479999999998</v>
      </c>
      <c r="N11" s="5">
        <v>0.6181818</v>
      </c>
    </row>
    <row r="12" spans="1:14" x14ac:dyDescent="0.25">
      <c r="A12" s="4" t="s">
        <v>25</v>
      </c>
      <c r="B12" s="5">
        <v>-8.7958999999999996E-2</v>
      </c>
      <c r="C12" s="5">
        <v>2.36946E-2</v>
      </c>
      <c r="D12" s="5">
        <v>0.16011929999999999</v>
      </c>
      <c r="E12" s="5">
        <v>-4.2282E-2</v>
      </c>
      <c r="F12" s="5">
        <v>-5.6230000000000002E-2</v>
      </c>
      <c r="G12" s="5">
        <v>-8.2580000000000001E-2</v>
      </c>
      <c r="H12" s="5">
        <v>-0.17181399999999999</v>
      </c>
      <c r="I12" s="5">
        <v>-0.196072</v>
      </c>
      <c r="J12" s="5">
        <v>-0.40575600000000001</v>
      </c>
      <c r="K12" s="5">
        <v>-0.48747800000000002</v>
      </c>
      <c r="L12" s="5">
        <v>-0.57620300000000002</v>
      </c>
      <c r="M12" s="5">
        <v>-0.56237099999999995</v>
      </c>
      <c r="N12" s="5">
        <v>-0.58664099999999997</v>
      </c>
    </row>
    <row r="13" spans="1:14" x14ac:dyDescent="0.25">
      <c r="A13" s="4" t="s">
        <v>26</v>
      </c>
      <c r="B13" s="5">
        <v>-7.8459000000000001E-2</v>
      </c>
      <c r="C13" s="5">
        <v>-2.7108E-2</v>
      </c>
      <c r="D13" s="5">
        <v>1.1750841999999999</v>
      </c>
      <c r="E13" s="5">
        <v>-0.15445</v>
      </c>
      <c r="F13" s="5">
        <v>-0.19350800000000001</v>
      </c>
      <c r="G13" s="5">
        <v>-8.3687999999999999E-2</v>
      </c>
      <c r="H13" s="5">
        <v>-9.2697000000000002E-2</v>
      </c>
      <c r="I13" s="5">
        <v>-0.38767800000000002</v>
      </c>
      <c r="J13" s="5">
        <v>-0.58268699999999995</v>
      </c>
      <c r="K13" s="5">
        <v>-0.55232199999999998</v>
      </c>
      <c r="L13" s="5">
        <v>-0.64210500000000004</v>
      </c>
      <c r="M13" s="5">
        <v>-0.71876399999999996</v>
      </c>
      <c r="N13" s="5">
        <v>-0.71199299999999999</v>
      </c>
    </row>
    <row r="14" spans="1:14" x14ac:dyDescent="0.25">
      <c r="A14" s="4" t="s">
        <v>27</v>
      </c>
      <c r="B14" s="5">
        <v>0.3333333</v>
      </c>
      <c r="C14" s="5">
        <v>3.2258099999999998E-2</v>
      </c>
      <c r="D14" s="5">
        <v>1.6666666999999999</v>
      </c>
      <c r="E14" s="5">
        <v>0.52380950000000004</v>
      </c>
      <c r="F14" s="5">
        <v>0.39130429999999999</v>
      </c>
      <c r="G14" s="5">
        <v>1.2857143</v>
      </c>
      <c r="H14" s="5">
        <v>0.3333333</v>
      </c>
      <c r="I14" s="5">
        <v>0.52380950000000004</v>
      </c>
      <c r="J14" s="5">
        <v>0.39130429999999999</v>
      </c>
      <c r="K14" s="5">
        <v>-0.111111</v>
      </c>
      <c r="L14" s="5">
        <v>0</v>
      </c>
      <c r="M14" s="5">
        <v>3.2258099999999998E-2</v>
      </c>
      <c r="N14" s="5">
        <v>-3.0303E-2</v>
      </c>
    </row>
    <row r="15" spans="1:14" x14ac:dyDescent="0.25">
      <c r="A15" s="4" t="s">
        <v>28</v>
      </c>
      <c r="B15" s="5">
        <v>-0.107256</v>
      </c>
      <c r="C15" s="5">
        <v>-7.5162999999999994E-2</v>
      </c>
      <c r="D15" s="5">
        <v>0.84967320000000002</v>
      </c>
      <c r="E15" s="5">
        <v>-0.416495</v>
      </c>
      <c r="F15" s="5">
        <v>-0.43960399999999999</v>
      </c>
      <c r="G15" s="5">
        <v>-0.46804499999999999</v>
      </c>
      <c r="H15" s="5">
        <v>-0.53983700000000001</v>
      </c>
      <c r="I15" s="5">
        <v>-0.57761200000000001</v>
      </c>
      <c r="J15" s="5">
        <v>-0.59104000000000001</v>
      </c>
      <c r="K15" s="5">
        <v>-0.52276599999999995</v>
      </c>
      <c r="L15" s="5">
        <v>-0.49283199999999999</v>
      </c>
      <c r="M15" s="5">
        <v>-0.44181500000000001</v>
      </c>
      <c r="N15" s="5">
        <v>-0.43960399999999999</v>
      </c>
    </row>
    <row r="16" spans="1:14" x14ac:dyDescent="0.25">
      <c r="A16" s="4" t="s">
        <v>29</v>
      </c>
      <c r="B16" s="5">
        <v>5.46875E-2</v>
      </c>
      <c r="C16" s="5">
        <v>-4.2553000000000001E-2</v>
      </c>
      <c r="D16" s="5">
        <v>0.125</v>
      </c>
      <c r="E16" s="5">
        <v>-0.123377</v>
      </c>
      <c r="F16" s="5">
        <v>-9.3960000000000002E-2</v>
      </c>
      <c r="G16" s="5">
        <v>-0.311224</v>
      </c>
      <c r="H16" s="5">
        <v>-0.21052599999999999</v>
      </c>
      <c r="I16" s="5">
        <v>-0.20588200000000001</v>
      </c>
      <c r="J16" s="5">
        <v>-0.34782600000000002</v>
      </c>
      <c r="K16" s="5">
        <v>-0.33168300000000001</v>
      </c>
      <c r="L16" s="5">
        <v>-0.41048000000000001</v>
      </c>
      <c r="M16" s="5">
        <v>-0.37787999999999999</v>
      </c>
      <c r="N16" s="5">
        <v>-0.49438199999999999</v>
      </c>
    </row>
    <row r="17" spans="1:14" x14ac:dyDescent="0.25">
      <c r="A17" s="4" t="s">
        <v>30</v>
      </c>
      <c r="B17" s="5">
        <v>0.1483516</v>
      </c>
      <c r="C17" s="5">
        <v>0.4026846</v>
      </c>
      <c r="D17" s="5">
        <v>0.6328125</v>
      </c>
      <c r="E17" s="5">
        <v>0.17415729999999999</v>
      </c>
      <c r="F17" s="5">
        <v>3.9801000000000003E-2</v>
      </c>
      <c r="G17" s="5">
        <v>-2.7907000000000001E-2</v>
      </c>
      <c r="H17" s="5">
        <v>-8.3333000000000004E-2</v>
      </c>
      <c r="I17" s="5">
        <v>-0.217228</v>
      </c>
      <c r="J17" s="5">
        <v>-0.16064300000000001</v>
      </c>
      <c r="K17" s="5">
        <v>-2.7907000000000001E-2</v>
      </c>
      <c r="L17" s="5">
        <v>4.8076999999999998E-3</v>
      </c>
      <c r="M17" s="5">
        <v>-0.196154</v>
      </c>
      <c r="N17" s="5">
        <v>-0.16400000000000001</v>
      </c>
    </row>
    <row r="18" spans="1:14" x14ac:dyDescent="0.25">
      <c r="A18" s="4" t="s">
        <v>31</v>
      </c>
      <c r="B18" s="5">
        <v>6.8833699999999998E-2</v>
      </c>
      <c r="C18" s="5">
        <v>6.6793900000000003E-2</v>
      </c>
      <c r="D18" s="5">
        <v>0.39054729999999999</v>
      </c>
      <c r="E18" s="5">
        <v>-0.24048900000000001</v>
      </c>
      <c r="F18" s="5">
        <v>-0.189855</v>
      </c>
      <c r="G18" s="5">
        <v>-0.304726</v>
      </c>
      <c r="H18" s="5">
        <v>-0.35300900000000002</v>
      </c>
      <c r="I18" s="5">
        <v>-0.41095900000000002</v>
      </c>
      <c r="J18" s="5">
        <v>-0.54404600000000003</v>
      </c>
      <c r="K18" s="5">
        <v>-0.54700199999999999</v>
      </c>
      <c r="L18" s="5">
        <v>-0.55879999999999996</v>
      </c>
      <c r="M18" s="5">
        <v>-0.51264200000000004</v>
      </c>
      <c r="N18" s="5">
        <v>-0.48288599999999998</v>
      </c>
    </row>
    <row r="19" spans="1:14" x14ac:dyDescent="0.25">
      <c r="A19" s="4" t="s">
        <v>32</v>
      </c>
      <c r="B19" s="5">
        <v>-0.13524600000000001</v>
      </c>
      <c r="C19" s="5">
        <v>-0.12448099999999999</v>
      </c>
      <c r="D19" s="5">
        <v>-0.14747499999999999</v>
      </c>
      <c r="E19" s="5">
        <v>-0.20377400000000001</v>
      </c>
      <c r="F19" s="5">
        <v>-0.26223800000000003</v>
      </c>
      <c r="G19" s="5">
        <v>-0.21706900000000001</v>
      </c>
      <c r="H19" s="5">
        <v>-0.31382100000000002</v>
      </c>
      <c r="I19" s="5">
        <v>-0.36349900000000002</v>
      </c>
      <c r="J19" s="5">
        <v>-0.46582299999999999</v>
      </c>
      <c r="K19" s="5">
        <v>-0.417931</v>
      </c>
      <c r="L19" s="5">
        <v>-0.43203200000000003</v>
      </c>
      <c r="M19" s="5">
        <v>-0.38573499999999999</v>
      </c>
      <c r="N19" s="5">
        <v>-0.40896399999999999</v>
      </c>
    </row>
    <row r="20" spans="1:14" x14ac:dyDescent="0.25">
      <c r="A20" s="4" t="s">
        <v>33</v>
      </c>
      <c r="B20" s="5">
        <v>6.0301500000000001E-2</v>
      </c>
      <c r="C20" s="5">
        <v>-3.211E-2</v>
      </c>
      <c r="D20" s="5">
        <v>-2.3147999999999998E-2</v>
      </c>
      <c r="E20" s="5">
        <v>3.9408899999999997E-2</v>
      </c>
      <c r="F20" s="5">
        <v>0.11640209999999999</v>
      </c>
      <c r="G20" s="5">
        <v>8.2051299999999994E-2</v>
      </c>
      <c r="H20" s="5">
        <v>-2.7650000000000001E-2</v>
      </c>
      <c r="I20" s="5">
        <v>0.24852070000000001</v>
      </c>
      <c r="J20" s="5">
        <v>-0.32154300000000002</v>
      </c>
      <c r="K20" s="5">
        <v>-0.46310400000000002</v>
      </c>
      <c r="L20" s="5">
        <v>-0.490338</v>
      </c>
      <c r="M20" s="5">
        <v>-0.43431599999999998</v>
      </c>
      <c r="N20" s="5">
        <v>-0.450521</v>
      </c>
    </row>
    <row r="21" spans="1:14" x14ac:dyDescent="0.25">
      <c r="A21" s="4" t="s">
        <v>34</v>
      </c>
      <c r="B21" s="5">
        <v>-6.2350000000000003E-2</v>
      </c>
      <c r="C21" s="5">
        <v>0.1920732</v>
      </c>
      <c r="D21" s="5">
        <v>0.46992479999999998</v>
      </c>
      <c r="E21" s="5">
        <v>-2.0049999999999998E-2</v>
      </c>
      <c r="F21" s="5">
        <v>-0.12528</v>
      </c>
      <c r="G21" s="5">
        <v>5.9620600000000003E-2</v>
      </c>
      <c r="H21" s="5">
        <v>-0.200409</v>
      </c>
      <c r="I21" s="5">
        <v>-0.23632800000000001</v>
      </c>
      <c r="J21" s="5">
        <v>-0.33840900000000002</v>
      </c>
      <c r="K21" s="5">
        <v>-0.348333</v>
      </c>
      <c r="L21" s="5">
        <v>-0.355848</v>
      </c>
      <c r="M21" s="5">
        <v>-0.111364</v>
      </c>
      <c r="N21" s="5">
        <v>-0.38522000000000001</v>
      </c>
    </row>
    <row r="22" spans="1:14" x14ac:dyDescent="0.25">
      <c r="A22" s="4" t="s">
        <v>35</v>
      </c>
      <c r="B22" s="5">
        <v>-0.104418</v>
      </c>
      <c r="C22" s="5">
        <v>-0.30745299999999998</v>
      </c>
      <c r="D22" s="5">
        <v>-0.16165399999999999</v>
      </c>
      <c r="E22" s="5">
        <v>-0.410053</v>
      </c>
      <c r="F22" s="5">
        <v>-0.38055600000000001</v>
      </c>
      <c r="G22" s="5">
        <v>-0.450739</v>
      </c>
      <c r="H22" s="5">
        <v>-0.41775499999999999</v>
      </c>
      <c r="I22" s="5">
        <v>-0.4425</v>
      </c>
      <c r="J22" s="5">
        <v>-0.43112200000000001</v>
      </c>
      <c r="K22" s="5">
        <v>-0.489703</v>
      </c>
      <c r="L22" s="5">
        <v>-0.612174</v>
      </c>
      <c r="M22" s="5">
        <v>-0.75194700000000003</v>
      </c>
      <c r="N22" s="5">
        <v>-0.76526300000000003</v>
      </c>
    </row>
    <row r="23" spans="1:14" x14ac:dyDescent="0.25">
      <c r="A23" s="4" t="s">
        <v>36</v>
      </c>
      <c r="B23" s="5">
        <v>9.1742999999999998E-3</v>
      </c>
      <c r="C23" s="5">
        <v>2.99625E-2</v>
      </c>
      <c r="D23" s="5">
        <v>2.99625E-2</v>
      </c>
      <c r="E23" s="5">
        <v>-0.34210499999999999</v>
      </c>
      <c r="F23" s="5">
        <v>-0.40021800000000002</v>
      </c>
      <c r="G23" s="5">
        <v>-0.44162400000000002</v>
      </c>
      <c r="H23" s="5">
        <v>-0.355217</v>
      </c>
      <c r="I23" s="5">
        <v>-0.42044300000000001</v>
      </c>
      <c r="J23" s="5">
        <v>-0.51456299999999999</v>
      </c>
      <c r="K23" s="5">
        <v>-0.56487299999999996</v>
      </c>
      <c r="L23" s="5">
        <v>-0.56105300000000002</v>
      </c>
      <c r="M23" s="5">
        <v>-0.53429300000000002</v>
      </c>
      <c r="N23" s="5">
        <v>-0.56624600000000003</v>
      </c>
    </row>
    <row r="24" spans="1:14" x14ac:dyDescent="0.25">
      <c r="A24" s="4" t="s">
        <v>37</v>
      </c>
      <c r="B24" s="5">
        <v>7.2164900000000004E-2</v>
      </c>
      <c r="C24" s="5">
        <v>2.9703E-2</v>
      </c>
      <c r="D24" s="5">
        <v>0.1103203</v>
      </c>
      <c r="E24" s="5">
        <v>-0.32758599999999999</v>
      </c>
      <c r="F24" s="5">
        <v>-0.363265</v>
      </c>
      <c r="G24" s="5">
        <v>-0.45644600000000002</v>
      </c>
      <c r="H24" s="5">
        <v>-0.41791</v>
      </c>
      <c r="I24" s="5">
        <v>-0.437838</v>
      </c>
      <c r="J24" s="5">
        <v>-0.563025</v>
      </c>
      <c r="K24" s="5">
        <v>-0.52293599999999996</v>
      </c>
      <c r="L24" s="5">
        <v>-0.53640399999999999</v>
      </c>
      <c r="M24" s="5">
        <v>-0.49432700000000002</v>
      </c>
      <c r="N24" s="5">
        <v>-0.55172399999999999</v>
      </c>
    </row>
    <row r="25" spans="1:14" x14ac:dyDescent="0.25">
      <c r="A25" s="4" t="s">
        <v>38</v>
      </c>
      <c r="B25" s="5">
        <v>-6.5041000000000002E-2</v>
      </c>
      <c r="C25" s="5">
        <v>-0.52674900000000002</v>
      </c>
      <c r="D25" s="5">
        <v>0.26373629999999998</v>
      </c>
      <c r="E25" s="5">
        <v>0.11650489999999999</v>
      </c>
      <c r="F25" s="5">
        <v>-8.6210000000000002E-3</v>
      </c>
      <c r="G25" s="5">
        <v>-3.3612999999999997E-2</v>
      </c>
      <c r="H25" s="5">
        <v>-0.122137</v>
      </c>
      <c r="I25" s="5">
        <v>-0.21232899999999999</v>
      </c>
      <c r="J25" s="5">
        <v>-0.23841100000000001</v>
      </c>
      <c r="K25" s="5">
        <v>-0.243421</v>
      </c>
      <c r="L25" s="5">
        <v>-0.29877999999999999</v>
      </c>
      <c r="M25" s="5">
        <v>-8.6210000000000002E-3</v>
      </c>
      <c r="N25" s="5">
        <v>-9.4488000000000003E-2</v>
      </c>
    </row>
    <row r="26" spans="1:14" x14ac:dyDescent="0.25">
      <c r="A26" s="4" t="s">
        <v>39</v>
      </c>
      <c r="B26" s="5">
        <v>-5.7851E-2</v>
      </c>
      <c r="C26" s="5">
        <v>-8.4336999999999995E-2</v>
      </c>
      <c r="D26" s="5">
        <v>-8.4336999999999995E-2</v>
      </c>
      <c r="E26" s="5">
        <v>-0.286385</v>
      </c>
      <c r="F26" s="5">
        <v>-0.238731</v>
      </c>
      <c r="G26" s="5">
        <v>-0.34199099999999999</v>
      </c>
      <c r="H26" s="5">
        <v>-0.41009099999999998</v>
      </c>
      <c r="I26" s="5">
        <v>-0.44525500000000001</v>
      </c>
      <c r="J26" s="5">
        <v>-0.57263399999999998</v>
      </c>
      <c r="K26" s="5">
        <v>-0.59358299999999997</v>
      </c>
      <c r="L26" s="5">
        <v>-0.58545499999999995</v>
      </c>
      <c r="M26" s="5">
        <v>-0.55162199999999995</v>
      </c>
      <c r="N26" s="5">
        <v>-0.524505</v>
      </c>
    </row>
    <row r="27" spans="1:14" x14ac:dyDescent="0.25">
      <c r="A27" s="4" t="s">
        <v>40</v>
      </c>
      <c r="B27" s="5">
        <v>-0.11011899999999999</v>
      </c>
      <c r="C27" s="5">
        <v>3.10345E-2</v>
      </c>
      <c r="D27" s="5">
        <v>-8.5626999999999995E-2</v>
      </c>
      <c r="E27" s="5">
        <v>-5.0793999999999999E-2</v>
      </c>
      <c r="F27" s="5">
        <v>6.7340000000000004E-3</v>
      </c>
      <c r="G27" s="5">
        <v>-6.6449999999999999E-3</v>
      </c>
      <c r="H27" s="5">
        <v>6.40569E-2</v>
      </c>
      <c r="I27" s="5">
        <v>7.1684600000000001E-2</v>
      </c>
      <c r="J27" s="5">
        <v>6.7340000000000004E-3</v>
      </c>
      <c r="K27" s="5">
        <v>-5.6781999999999999E-2</v>
      </c>
      <c r="L27" s="5">
        <v>-0.143266</v>
      </c>
      <c r="M27" s="5">
        <v>-3.2362000000000002E-2</v>
      </c>
      <c r="N27" s="5">
        <v>-0.33407599999999998</v>
      </c>
    </row>
    <row r="28" spans="1:14" x14ac:dyDescent="0.25">
      <c r="A28" s="4" t="s">
        <v>41</v>
      </c>
      <c r="B28" s="5">
        <v>-9.8418000000000005E-2</v>
      </c>
      <c r="C28" s="5">
        <v>7.7731099999999997E-2</v>
      </c>
      <c r="D28" s="5">
        <v>0.45738640000000003</v>
      </c>
      <c r="E28" s="5">
        <v>0.13245029999999999</v>
      </c>
      <c r="F28" s="5">
        <v>5.1229499999999997E-2</v>
      </c>
      <c r="G28" s="5">
        <v>1.1834300000000001E-2</v>
      </c>
      <c r="H28" s="5">
        <v>-4.6468000000000002E-2</v>
      </c>
      <c r="I28" s="5">
        <v>-0.10782600000000001</v>
      </c>
      <c r="J28" s="5">
        <v>-0.05</v>
      </c>
      <c r="K28" s="5">
        <v>-0.21318999999999999</v>
      </c>
      <c r="L28" s="5">
        <v>-0.391459</v>
      </c>
      <c r="M28" s="5">
        <v>-0.42936600000000003</v>
      </c>
      <c r="N28" s="5">
        <v>-0.39788699999999999</v>
      </c>
    </row>
    <row r="29" spans="1:14" x14ac:dyDescent="0.25">
      <c r="A29" s="4" t="s">
        <v>42</v>
      </c>
      <c r="B29" s="5" t="s">
        <v>18</v>
      </c>
      <c r="C29" s="5" t="s">
        <v>18</v>
      </c>
      <c r="D29" s="5" t="s">
        <v>18</v>
      </c>
      <c r="E29" s="5" t="s">
        <v>18</v>
      </c>
      <c r="F29" s="5" t="s">
        <v>18</v>
      </c>
      <c r="G29" s="5" t="s">
        <v>18</v>
      </c>
      <c r="H29" s="5" t="s">
        <v>18</v>
      </c>
      <c r="I29" s="5" t="s">
        <v>18</v>
      </c>
      <c r="J29" s="5" t="s">
        <v>18</v>
      </c>
      <c r="K29" s="5" t="s">
        <v>18</v>
      </c>
      <c r="L29" s="5" t="s">
        <v>18</v>
      </c>
      <c r="M29" s="5" t="s">
        <v>18</v>
      </c>
      <c r="N29" s="5" t="s">
        <v>18</v>
      </c>
    </row>
    <row r="30" spans="1:14" x14ac:dyDescent="0.25">
      <c r="A30" s="4" t="s">
        <v>43</v>
      </c>
      <c r="B30" s="5">
        <v>-0.34426200000000001</v>
      </c>
      <c r="C30" s="5">
        <v>-0.71223000000000003</v>
      </c>
      <c r="D30" s="5">
        <v>0.29032259999999999</v>
      </c>
      <c r="E30" s="5">
        <v>-0.41176499999999999</v>
      </c>
      <c r="F30" s="5">
        <v>-0.44444400000000001</v>
      </c>
      <c r="G30" s="5">
        <v>-0.60784300000000002</v>
      </c>
      <c r="H30" s="5">
        <v>-0.29824600000000001</v>
      </c>
      <c r="I30" s="5">
        <v>-0.72222200000000003</v>
      </c>
      <c r="J30" s="5">
        <v>-0.80582500000000001</v>
      </c>
      <c r="K30" s="5">
        <v>-0.85663100000000003</v>
      </c>
      <c r="L30" s="5">
        <v>-0.80952400000000002</v>
      </c>
      <c r="M30" s="5">
        <v>-0.83606599999999998</v>
      </c>
      <c r="N30" s="5">
        <v>-0.80487799999999998</v>
      </c>
    </row>
    <row r="31" spans="1:14" x14ac:dyDescent="0.25">
      <c r="A31" s="4" t="s">
        <v>44</v>
      </c>
      <c r="B31" s="5">
        <v>-0.18840599999999999</v>
      </c>
      <c r="C31" s="5">
        <v>-2.3255999999999999E-2</v>
      </c>
      <c r="D31" s="5">
        <v>0.52727270000000004</v>
      </c>
      <c r="E31" s="5">
        <v>1.8181800000000001E-2</v>
      </c>
      <c r="F31" s="5">
        <v>-0.18048800000000001</v>
      </c>
      <c r="G31" s="5">
        <v>-0.15151500000000001</v>
      </c>
      <c r="H31" s="5">
        <v>-0.18048800000000001</v>
      </c>
      <c r="I31" s="5">
        <v>1.8181800000000001E-2</v>
      </c>
      <c r="J31" s="5">
        <v>-0.39350200000000002</v>
      </c>
      <c r="K31" s="5">
        <v>-0.34375</v>
      </c>
      <c r="L31" s="5">
        <v>-0.45631100000000002</v>
      </c>
      <c r="M31" s="5">
        <v>-0.47987600000000002</v>
      </c>
      <c r="N31" s="5">
        <v>-0.330677</v>
      </c>
    </row>
    <row r="32" spans="1:14" x14ac:dyDescent="0.25">
      <c r="A32" s="4" t="s">
        <v>45</v>
      </c>
      <c r="B32" s="5">
        <v>-0.11454300000000001</v>
      </c>
      <c r="C32" s="5">
        <v>1.4556E-3</v>
      </c>
      <c r="D32" s="5">
        <v>-2.5496000000000001E-2</v>
      </c>
      <c r="E32" s="5">
        <v>-0.137845</v>
      </c>
      <c r="F32" s="5">
        <v>-0.241455</v>
      </c>
      <c r="G32" s="5">
        <v>-0.221719</v>
      </c>
      <c r="H32" s="5">
        <v>-0.26101000000000002</v>
      </c>
      <c r="I32" s="5">
        <v>-0.22522500000000001</v>
      </c>
      <c r="J32" s="5">
        <v>-0.36996299999999999</v>
      </c>
      <c r="K32" s="5">
        <v>-0.40893499999999999</v>
      </c>
      <c r="L32" s="5">
        <v>-0.387355</v>
      </c>
      <c r="M32" s="5">
        <v>-0.51309300000000002</v>
      </c>
      <c r="N32" s="5">
        <v>-0.44871800000000001</v>
      </c>
    </row>
    <row r="33" spans="1:14" x14ac:dyDescent="0.25">
      <c r="A33" s="4" t="s">
        <v>46</v>
      </c>
      <c r="B33" s="5">
        <v>0.62962960000000001</v>
      </c>
      <c r="C33" s="5">
        <v>0.1891892</v>
      </c>
      <c r="D33" s="5">
        <v>0.29411759999999998</v>
      </c>
      <c r="E33" s="5">
        <v>-0.10204100000000001</v>
      </c>
      <c r="F33" s="5">
        <v>-0.10204100000000001</v>
      </c>
      <c r="G33" s="5">
        <v>3.8888889</v>
      </c>
      <c r="H33" s="5">
        <v>-0.40540500000000002</v>
      </c>
      <c r="I33" s="5">
        <v>-0.62068999999999996</v>
      </c>
      <c r="J33" s="5">
        <v>-0.67883199999999999</v>
      </c>
      <c r="K33" s="5">
        <v>-0.70860900000000004</v>
      </c>
      <c r="L33" s="5">
        <v>-0.81742700000000001</v>
      </c>
      <c r="M33" s="5">
        <v>-0.72499999999999998</v>
      </c>
      <c r="N33" s="5">
        <v>-0.64516099999999998</v>
      </c>
    </row>
    <row r="34" spans="1:14" x14ac:dyDescent="0.25">
      <c r="A34" s="4" t="s">
        <v>47</v>
      </c>
      <c r="B34" s="5">
        <v>-2.2727000000000001E-2</v>
      </c>
      <c r="C34" s="5">
        <v>-0.110345</v>
      </c>
      <c r="D34" s="5">
        <v>0</v>
      </c>
      <c r="E34" s="5">
        <v>-0.156863</v>
      </c>
      <c r="F34" s="5">
        <v>-0.26285700000000001</v>
      </c>
      <c r="G34" s="5">
        <v>-0.245614</v>
      </c>
      <c r="H34" s="5">
        <v>-0.25862099999999999</v>
      </c>
      <c r="I34" s="5">
        <v>-0.41095900000000002</v>
      </c>
      <c r="J34" s="5">
        <v>-0.47773300000000002</v>
      </c>
      <c r="K34" s="5">
        <v>-0.46472999999999998</v>
      </c>
      <c r="L34" s="5">
        <v>-0.29508200000000001</v>
      </c>
      <c r="M34" s="5">
        <v>-0.48192800000000002</v>
      </c>
      <c r="N34" s="5">
        <v>-0.58387100000000003</v>
      </c>
    </row>
    <row r="35" spans="1:14" x14ac:dyDescent="0.25">
      <c r="A35" s="4" t="s">
        <v>48</v>
      </c>
      <c r="B35" s="5">
        <v>0.28000000000000003</v>
      </c>
      <c r="C35" s="5">
        <v>7.8740000000000008E-3</v>
      </c>
      <c r="D35" s="5">
        <v>7.5630299999999998E-2</v>
      </c>
      <c r="E35" s="5">
        <v>0.10344830000000001</v>
      </c>
      <c r="F35" s="5">
        <v>0.13274340000000001</v>
      </c>
      <c r="G35" s="5">
        <v>-0.104895</v>
      </c>
      <c r="H35" s="5">
        <v>3.2258099999999998E-2</v>
      </c>
      <c r="I35" s="5">
        <v>4.0650400000000003E-2</v>
      </c>
      <c r="J35" s="5">
        <v>-7.2464000000000001E-2</v>
      </c>
      <c r="K35" s="5">
        <v>-0.25146200000000002</v>
      </c>
      <c r="L35" s="5">
        <v>2.4E-2</v>
      </c>
      <c r="M35" s="5">
        <v>7.8740000000000008E-3</v>
      </c>
      <c r="N35" s="5">
        <v>1.5873000000000002E-2</v>
      </c>
    </row>
    <row r="36" spans="1:14" x14ac:dyDescent="0.25">
      <c r="A36" s="4" t="s">
        <v>49</v>
      </c>
      <c r="B36" s="5">
        <v>0.14757709999999999</v>
      </c>
      <c r="C36" s="5">
        <v>8.7682700000000002E-2</v>
      </c>
      <c r="D36" s="5">
        <v>0.18949769999999999</v>
      </c>
      <c r="E36" s="5">
        <v>-0.12436999999999999</v>
      </c>
      <c r="F36" s="5">
        <v>-5.4446000000000001E-2</v>
      </c>
      <c r="G36" s="5">
        <v>-6.1261000000000003E-2</v>
      </c>
      <c r="H36" s="5">
        <v>-0.106346</v>
      </c>
      <c r="I36" s="5">
        <v>-6.2950000000000006E-2</v>
      </c>
      <c r="J36" s="5">
        <v>-0.25143700000000002</v>
      </c>
      <c r="K36" s="5">
        <v>-0.173016</v>
      </c>
      <c r="L36" s="5">
        <v>-3.5185000000000001E-2</v>
      </c>
      <c r="M36" s="5">
        <v>-0.119932</v>
      </c>
      <c r="N36" s="5">
        <v>-0.35758299999999998</v>
      </c>
    </row>
    <row r="37" spans="1:14" x14ac:dyDescent="0.25">
      <c r="A37" s="4" t="s">
        <v>50</v>
      </c>
      <c r="B37" s="5">
        <v>0.1640625</v>
      </c>
      <c r="C37" s="5">
        <v>2.2747253000000001</v>
      </c>
      <c r="D37" s="5">
        <v>0.76331360000000004</v>
      </c>
      <c r="E37" s="5">
        <v>0.1825397</v>
      </c>
      <c r="F37" s="5">
        <v>0.15953310000000001</v>
      </c>
      <c r="G37" s="5">
        <v>2.7586200000000002E-2</v>
      </c>
      <c r="H37" s="5">
        <v>0.20161290000000001</v>
      </c>
      <c r="I37" s="5">
        <v>0.39252340000000002</v>
      </c>
      <c r="J37" s="5">
        <v>7.1942400000000004E-2</v>
      </c>
      <c r="K37" s="5">
        <v>-6.2893000000000004E-2</v>
      </c>
      <c r="L37" s="5">
        <v>0.22633739999999999</v>
      </c>
      <c r="M37" s="5">
        <v>-0.13623199999999999</v>
      </c>
      <c r="N37" s="5">
        <v>-0.18131900000000001</v>
      </c>
    </row>
    <row r="38" spans="1:14" x14ac:dyDescent="0.25">
      <c r="A38" s="4" t="s">
        <v>51</v>
      </c>
      <c r="B38" s="5">
        <v>-0.41133500000000001</v>
      </c>
      <c r="C38" s="5">
        <v>-0.14361699999999999</v>
      </c>
      <c r="D38" s="5">
        <v>-0.14018700000000001</v>
      </c>
      <c r="E38" s="5">
        <v>-0.30303000000000002</v>
      </c>
      <c r="F38" s="5">
        <v>-4.4510000000000001E-2</v>
      </c>
      <c r="G38" s="5">
        <v>-0.109267</v>
      </c>
      <c r="H38" s="5">
        <v>-0.225962</v>
      </c>
      <c r="I38" s="5">
        <v>-0.24324299999999999</v>
      </c>
      <c r="J38" s="5">
        <v>-0.25116300000000003</v>
      </c>
      <c r="K38" s="5">
        <v>-0.37837799999999999</v>
      </c>
      <c r="L38" s="5">
        <v>-0.18481</v>
      </c>
      <c r="M38" s="5">
        <v>-0.475997</v>
      </c>
      <c r="N38" s="5">
        <v>-0.48064499999999999</v>
      </c>
    </row>
    <row r="39" spans="1:14" x14ac:dyDescent="0.25">
      <c r="A39" s="4" t="s">
        <v>52</v>
      </c>
      <c r="B39" s="5">
        <v>7.4681200000000003E-2</v>
      </c>
      <c r="C39" s="5">
        <v>0.19191920000000001</v>
      </c>
      <c r="D39" s="5">
        <v>6.4981899999999995E-2</v>
      </c>
      <c r="E39" s="5">
        <v>-5.6755E-2</v>
      </c>
      <c r="F39" s="5">
        <v>-7.0865999999999998E-2</v>
      </c>
      <c r="G39" s="5">
        <v>-3.5948000000000001E-2</v>
      </c>
      <c r="H39" s="5">
        <v>-5.1447E-2</v>
      </c>
      <c r="I39" s="5">
        <v>-5.4487000000000001E-2</v>
      </c>
      <c r="J39" s="5">
        <v>-0.50812800000000002</v>
      </c>
      <c r="K39" s="5">
        <v>-0.53579900000000003</v>
      </c>
      <c r="L39" s="5">
        <v>-0.74672700000000003</v>
      </c>
      <c r="M39" s="5">
        <v>-0.76214499999999996</v>
      </c>
      <c r="N39" s="5">
        <v>-0.79531700000000005</v>
      </c>
    </row>
    <row r="40" spans="1:14" x14ac:dyDescent="0.25">
      <c r="A40" s="4" t="s">
        <v>53</v>
      </c>
      <c r="B40" s="5">
        <v>-5.4574999999999999E-2</v>
      </c>
      <c r="C40" s="5">
        <v>-6.9510000000000002E-2</v>
      </c>
      <c r="D40" s="5">
        <v>0.1663366</v>
      </c>
      <c r="E40" s="5">
        <v>-0.19315099999999999</v>
      </c>
      <c r="F40" s="5">
        <v>-0.12869800000000001</v>
      </c>
      <c r="G40" s="5">
        <v>-0.213618</v>
      </c>
      <c r="H40" s="5">
        <v>-0.31670500000000001</v>
      </c>
      <c r="I40" s="5">
        <v>-0.36666700000000002</v>
      </c>
      <c r="J40" s="5">
        <v>-0.50211300000000003</v>
      </c>
      <c r="K40" s="5">
        <v>-0.52346300000000001</v>
      </c>
      <c r="L40" s="5">
        <v>-0.51402599999999998</v>
      </c>
      <c r="M40" s="5">
        <v>-0.52652699999999997</v>
      </c>
      <c r="N40" s="5">
        <v>-0.53948399999999996</v>
      </c>
    </row>
    <row r="41" spans="1:14" x14ac:dyDescent="0.25">
      <c r="A41" s="4" t="s">
        <v>54</v>
      </c>
      <c r="B41" s="5">
        <v>5.5555599999999997E-2</v>
      </c>
      <c r="C41" s="5">
        <v>0.1135531</v>
      </c>
      <c r="D41" s="5">
        <v>0.52763819999999995</v>
      </c>
      <c r="E41" s="5">
        <v>-6.4615000000000006E-2</v>
      </c>
      <c r="F41" s="5">
        <v>8.5714299999999993E-2</v>
      </c>
      <c r="G41" s="5">
        <v>-2.8753999999999998E-2</v>
      </c>
      <c r="H41" s="5">
        <v>-0.12894</v>
      </c>
      <c r="I41" s="5">
        <v>-0.150838</v>
      </c>
      <c r="J41" s="5">
        <v>-0.13390299999999999</v>
      </c>
      <c r="K41" s="5">
        <v>-0.25490200000000002</v>
      </c>
      <c r="L41" s="5">
        <v>-0.30434800000000001</v>
      </c>
      <c r="M41" s="5">
        <v>-0.247525</v>
      </c>
      <c r="N41" s="5">
        <v>-0.146067</v>
      </c>
    </row>
    <row r="42" spans="1:14" x14ac:dyDescent="0.25">
      <c r="A42" s="4" t="s">
        <v>55</v>
      </c>
      <c r="B42" s="5">
        <v>-0.106667</v>
      </c>
      <c r="C42" s="5">
        <v>-3.6301E-2</v>
      </c>
      <c r="D42" s="5">
        <v>0.40699999999999997</v>
      </c>
      <c r="E42" s="5">
        <v>5.8690699999999998E-2</v>
      </c>
      <c r="F42" s="5">
        <v>-2.1558000000000001E-2</v>
      </c>
      <c r="G42" s="5">
        <v>3.2281700000000003E-2</v>
      </c>
      <c r="H42" s="5">
        <v>0.1247002</v>
      </c>
      <c r="I42" s="5">
        <v>4.9216999999999997E-2</v>
      </c>
      <c r="J42" s="5">
        <v>-3.8934000000000003E-2</v>
      </c>
      <c r="K42" s="5">
        <v>8.90093E-2</v>
      </c>
      <c r="L42" s="5">
        <v>-5.8233E-2</v>
      </c>
      <c r="M42" s="5">
        <v>3.7610600000000001E-2</v>
      </c>
      <c r="N42" s="5">
        <v>-4.5455000000000002E-2</v>
      </c>
    </row>
    <row r="43" spans="1:14" x14ac:dyDescent="0.25">
      <c r="A43" s="4" t="s">
        <v>56</v>
      </c>
      <c r="B43" s="5">
        <v>-0.12953999999999999</v>
      </c>
      <c r="C43" s="5">
        <v>-7.5835E-2</v>
      </c>
      <c r="D43" s="5">
        <v>-8.0562999999999996E-2</v>
      </c>
      <c r="E43" s="5">
        <v>-0.26407399999999998</v>
      </c>
      <c r="F43" s="5">
        <v>-0.161027</v>
      </c>
      <c r="G43" s="5">
        <v>-0.26782099999999998</v>
      </c>
      <c r="H43" s="5">
        <v>-0.25337500000000002</v>
      </c>
      <c r="I43" s="5">
        <v>-0.36707699999999999</v>
      </c>
      <c r="J43" s="5">
        <v>-0.47709099999999999</v>
      </c>
      <c r="K43" s="5">
        <v>-0.49043199999999998</v>
      </c>
      <c r="L43" s="5">
        <v>-0.50820799999999999</v>
      </c>
      <c r="M43" s="5">
        <v>-0.50618099999999999</v>
      </c>
      <c r="N43" s="5">
        <v>-0.48347699999999999</v>
      </c>
    </row>
    <row r="44" spans="1:14" x14ac:dyDescent="0.25">
      <c r="A44" s="4" t="s">
        <v>57</v>
      </c>
      <c r="B44" s="5">
        <v>1.72414E-2</v>
      </c>
      <c r="C44" s="5">
        <v>-0.157143</v>
      </c>
      <c r="D44" s="5">
        <v>10.8</v>
      </c>
      <c r="E44" s="5">
        <v>-0.32954499999999998</v>
      </c>
      <c r="F44" s="5">
        <v>-0.34444399999999997</v>
      </c>
      <c r="G44" s="5">
        <v>-0.28048800000000002</v>
      </c>
      <c r="H44" s="5">
        <v>-0.37234</v>
      </c>
      <c r="I44" s="5">
        <v>-0.59589000000000003</v>
      </c>
      <c r="J44" s="5">
        <v>-0.64024400000000004</v>
      </c>
      <c r="K44" s="5">
        <v>-0.32183899999999999</v>
      </c>
      <c r="L44" s="5">
        <v>-0.28048800000000002</v>
      </c>
      <c r="M44" s="5">
        <v>-0.49137900000000001</v>
      </c>
      <c r="N44" s="5">
        <v>-0.56934300000000004</v>
      </c>
    </row>
    <row r="45" spans="1:14" x14ac:dyDescent="0.25">
      <c r="A45" s="4" t="s">
        <v>58</v>
      </c>
      <c r="B45" s="5">
        <v>0.3</v>
      </c>
      <c r="C45" s="5">
        <v>0.15044250000000001</v>
      </c>
      <c r="D45" s="5">
        <v>0.34020620000000001</v>
      </c>
      <c r="E45" s="5">
        <v>0.41304350000000001</v>
      </c>
      <c r="F45" s="5">
        <v>0.41304350000000001</v>
      </c>
      <c r="G45" s="5">
        <v>0.26213589999999998</v>
      </c>
      <c r="H45" s="5">
        <v>0.3684211</v>
      </c>
      <c r="I45" s="5">
        <v>0.46067419999999998</v>
      </c>
      <c r="J45" s="5">
        <v>0.21495330000000001</v>
      </c>
      <c r="K45" s="5">
        <v>0.20370369999999999</v>
      </c>
      <c r="L45" s="5">
        <v>0.34020620000000001</v>
      </c>
      <c r="M45" s="5">
        <v>0.3541667</v>
      </c>
      <c r="N45" s="5">
        <v>5.6910599999999999E-2</v>
      </c>
    </row>
    <row r="46" spans="1:14" x14ac:dyDescent="0.25">
      <c r="A46" s="4" t="s">
        <v>59</v>
      </c>
      <c r="B46" s="5">
        <v>-1.2723E-2</v>
      </c>
      <c r="C46" s="5">
        <v>8.0779900000000002E-2</v>
      </c>
      <c r="D46" s="5">
        <v>0.25566339999999999</v>
      </c>
      <c r="E46" s="5">
        <v>-9.3457999999999999E-2</v>
      </c>
      <c r="F46" s="5">
        <v>-0.16017300000000001</v>
      </c>
      <c r="G46" s="5">
        <v>-6.5060000000000007E-2</v>
      </c>
      <c r="H46" s="5">
        <v>-0.191667</v>
      </c>
      <c r="I46" s="5">
        <v>-0.47425499999999998</v>
      </c>
      <c r="J46" s="5">
        <v>-0.43025000000000002</v>
      </c>
      <c r="K46" s="5">
        <v>-0.44807999999999998</v>
      </c>
      <c r="L46" s="5">
        <v>-0.38993699999999998</v>
      </c>
      <c r="M46" s="5">
        <v>-0.28545100000000001</v>
      </c>
      <c r="N46" s="5">
        <v>-0.36601299999999998</v>
      </c>
    </row>
    <row r="47" spans="1:14" x14ac:dyDescent="0.25">
      <c r="A47" s="4" t="s">
        <v>60</v>
      </c>
      <c r="B47" s="5">
        <v>-0.275862</v>
      </c>
      <c r="C47" s="5">
        <v>0.05</v>
      </c>
      <c r="D47" s="5">
        <v>0.35483870000000001</v>
      </c>
      <c r="E47" s="5">
        <v>-2.3255999999999999E-2</v>
      </c>
      <c r="F47" s="5">
        <v>-0.36363600000000001</v>
      </c>
      <c r="G47" s="5">
        <v>-0.61818200000000001</v>
      </c>
      <c r="H47" s="5">
        <v>-0.67692300000000005</v>
      </c>
      <c r="I47" s="5">
        <v>-0.65</v>
      </c>
      <c r="J47" s="5">
        <v>-0.76271199999999995</v>
      </c>
      <c r="K47" s="5">
        <v>-0.68181800000000004</v>
      </c>
      <c r="L47" s="5">
        <v>-0.66400000000000003</v>
      </c>
      <c r="M47" s="5">
        <v>-0.66129000000000004</v>
      </c>
      <c r="N47" s="5">
        <v>-0.61467899999999998</v>
      </c>
    </row>
    <row r="48" spans="1:14" x14ac:dyDescent="0.25">
      <c r="A48" s="4" t="s">
        <v>61</v>
      </c>
      <c r="B48" s="5">
        <v>-0.24901200000000001</v>
      </c>
      <c r="C48" s="5">
        <v>3.8251399999999998E-2</v>
      </c>
      <c r="D48" s="5">
        <v>2.33393E-2</v>
      </c>
      <c r="E48" s="5">
        <v>0</v>
      </c>
      <c r="F48" s="5">
        <v>-0.16053000000000001</v>
      </c>
      <c r="G48" s="5">
        <v>-0.23180600000000001</v>
      </c>
      <c r="H48" s="5">
        <v>-0.247028</v>
      </c>
      <c r="I48" s="5">
        <v>-0.314079</v>
      </c>
      <c r="J48" s="5">
        <v>-0.39682499999999998</v>
      </c>
      <c r="K48" s="5">
        <v>-0.50087599999999999</v>
      </c>
      <c r="L48" s="5">
        <v>-0.42482300000000001</v>
      </c>
      <c r="M48" s="5">
        <v>-0.55642000000000003</v>
      </c>
      <c r="N48" s="5">
        <v>-0.40932600000000002</v>
      </c>
    </row>
    <row r="49" spans="1:14" x14ac:dyDescent="0.25">
      <c r="A49" s="4" t="s">
        <v>62</v>
      </c>
      <c r="B49" s="5">
        <v>-9.7740999999999995E-2</v>
      </c>
      <c r="C49" s="5">
        <v>7.3641100000000001E-2</v>
      </c>
      <c r="D49" s="5">
        <v>0.43627830000000001</v>
      </c>
      <c r="E49" s="5">
        <v>-5.6981999999999998E-2</v>
      </c>
      <c r="F49" s="5">
        <v>1.7165E-2</v>
      </c>
      <c r="G49" s="5">
        <v>-5.0645999999999997E-2</v>
      </c>
      <c r="H49" s="5">
        <v>-0.16500000000000001</v>
      </c>
      <c r="I49" s="5">
        <v>3.9027100000000002E-2</v>
      </c>
      <c r="J49" s="5">
        <v>-0.23234399999999999</v>
      </c>
      <c r="K49" s="5">
        <v>-0.32413500000000001</v>
      </c>
      <c r="L49" s="5">
        <v>-0.52630200000000005</v>
      </c>
      <c r="M49" s="5">
        <v>-0.57905600000000002</v>
      </c>
      <c r="N49" s="5">
        <v>-0.62441199999999997</v>
      </c>
    </row>
    <row r="50" spans="1:14" x14ac:dyDescent="0.25">
      <c r="A50" s="4" t="s">
        <v>63</v>
      </c>
      <c r="B50" s="5">
        <v>-0.33149200000000001</v>
      </c>
      <c r="C50" s="5">
        <v>-0.21935499999999999</v>
      </c>
      <c r="D50" s="5">
        <v>-6.2016000000000002E-2</v>
      </c>
      <c r="E50" s="5">
        <v>6.14035E-2</v>
      </c>
      <c r="F50" s="5">
        <v>-0.42653999999999997</v>
      </c>
      <c r="G50" s="5">
        <v>-0.493724</v>
      </c>
      <c r="H50" s="5">
        <v>-0.45</v>
      </c>
      <c r="I50" s="5">
        <v>-0.63880599999999998</v>
      </c>
      <c r="J50" s="5">
        <v>-0.64095000000000002</v>
      </c>
      <c r="K50" s="5">
        <v>-0.61829699999999999</v>
      </c>
      <c r="L50" s="5">
        <v>-0.629969</v>
      </c>
      <c r="M50" s="5">
        <v>-0.63333300000000003</v>
      </c>
      <c r="N50" s="5">
        <v>-0.64927500000000005</v>
      </c>
    </row>
    <row r="51" spans="1:14" x14ac:dyDescent="0.25">
      <c r="A51" s="4" t="s">
        <v>64</v>
      </c>
      <c r="B51" s="5">
        <v>7.7720000000000003E-3</v>
      </c>
      <c r="C51" s="5">
        <v>-7.6530000000000001E-3</v>
      </c>
      <c r="D51" s="5">
        <v>0.11781610000000001</v>
      </c>
      <c r="E51" s="5">
        <v>-1.519E-2</v>
      </c>
      <c r="F51" s="5">
        <v>-0.12975400000000001</v>
      </c>
      <c r="G51" s="5">
        <v>-0.197938</v>
      </c>
      <c r="H51" s="5">
        <v>-0.186192</v>
      </c>
      <c r="I51" s="5">
        <v>-0.24465999999999999</v>
      </c>
      <c r="J51" s="5">
        <v>-0.35596</v>
      </c>
      <c r="K51" s="5">
        <v>-0.372581</v>
      </c>
      <c r="L51" s="5">
        <v>-0.45897100000000002</v>
      </c>
      <c r="M51" s="5">
        <v>-0.55845599999999995</v>
      </c>
      <c r="N51" s="5">
        <v>-0.58216999999999997</v>
      </c>
    </row>
    <row r="52" spans="1:14" x14ac:dyDescent="0.25">
      <c r="A52" s="4" t="s">
        <v>65</v>
      </c>
      <c r="B52" s="5">
        <v>0</v>
      </c>
      <c r="C52" s="5">
        <v>0.5</v>
      </c>
      <c r="D52" s="5">
        <v>0.5</v>
      </c>
      <c r="E52" s="5">
        <v>-0.30769200000000002</v>
      </c>
      <c r="F52" s="5">
        <v>-0.30769200000000002</v>
      </c>
      <c r="G52" s="5">
        <v>-0.625</v>
      </c>
      <c r="H52" s="5">
        <v>-0.60869600000000001</v>
      </c>
      <c r="I52" s="5">
        <v>-0.71875</v>
      </c>
      <c r="J52" s="5">
        <v>-0.735294</v>
      </c>
      <c r="K52" s="5">
        <v>-0.71875</v>
      </c>
      <c r="L52" s="5">
        <v>-0.72727299999999995</v>
      </c>
      <c r="M52" s="5">
        <v>-0.72727299999999995</v>
      </c>
      <c r="N52" s="5">
        <v>-0.71875</v>
      </c>
    </row>
    <row r="53" spans="1:14" x14ac:dyDescent="0.25">
      <c r="A53" s="4" t="s">
        <v>66</v>
      </c>
      <c r="B53" s="5">
        <v>-0.11475399999999999</v>
      </c>
      <c r="C53" s="5">
        <v>0.08</v>
      </c>
      <c r="D53" s="5">
        <v>4.8543700000000002E-2</v>
      </c>
      <c r="E53" s="5">
        <v>0.5211268</v>
      </c>
      <c r="F53" s="5">
        <v>0.24137929999999999</v>
      </c>
      <c r="G53" s="5">
        <v>3.8461500000000003E-2</v>
      </c>
      <c r="H53" s="5">
        <v>0.14893619999999999</v>
      </c>
      <c r="I53" s="5">
        <v>-1.8182E-2</v>
      </c>
      <c r="J53" s="5">
        <v>-9.2437000000000005E-2</v>
      </c>
      <c r="K53" s="5">
        <v>-0.1</v>
      </c>
      <c r="L53" s="5">
        <v>-0.15625</v>
      </c>
      <c r="M53" s="5">
        <v>-9.1739999999999999E-3</v>
      </c>
      <c r="N53" s="5">
        <v>0.3333333</v>
      </c>
    </row>
    <row r="54" spans="1:14" x14ac:dyDescent="0.25">
      <c r="A54" s="4" t="s">
        <v>67</v>
      </c>
      <c r="B54" s="5">
        <v>5.7007099999999998E-2</v>
      </c>
      <c r="C54" s="5">
        <v>0.13448060000000001</v>
      </c>
      <c r="D54" s="5">
        <v>1.1394230999999999</v>
      </c>
      <c r="E54" s="5">
        <v>0.107654</v>
      </c>
      <c r="F54" s="5">
        <v>0.1230284</v>
      </c>
      <c r="G54" s="5">
        <v>8.8019600000000003E-2</v>
      </c>
      <c r="H54" s="5">
        <v>-0.14954600000000001</v>
      </c>
      <c r="I54" s="5">
        <v>0.1994609</v>
      </c>
      <c r="J54" s="5">
        <v>0.37664350000000002</v>
      </c>
      <c r="K54" s="5">
        <v>0.24214930000000001</v>
      </c>
      <c r="L54" s="5">
        <v>0.35053109999999998</v>
      </c>
      <c r="M54" s="5">
        <v>0.20677970000000001</v>
      </c>
      <c r="N54" s="5">
        <v>0.20433019999999999</v>
      </c>
    </row>
    <row r="55" spans="1:14" x14ac:dyDescent="0.25">
      <c r="A55" s="4" t="s">
        <v>68</v>
      </c>
      <c r="B55" s="5">
        <v>4.7761199999999997E-2</v>
      </c>
      <c r="C55" s="5">
        <v>2.9325500000000001E-2</v>
      </c>
      <c r="D55" s="5">
        <v>0.18181820000000001</v>
      </c>
      <c r="E55" s="5">
        <v>4.1542999999999997E-2</v>
      </c>
      <c r="F55" s="5">
        <v>-2.2284000000000002E-2</v>
      </c>
      <c r="G55" s="5">
        <v>5.7228899999999999E-2</v>
      </c>
      <c r="H55" s="5">
        <v>6.6869300000000007E-2</v>
      </c>
      <c r="I55" s="5">
        <v>-0.15421699999999999</v>
      </c>
      <c r="J55" s="5">
        <v>-0.34269699999999997</v>
      </c>
      <c r="K55" s="5">
        <v>-0.32500000000000001</v>
      </c>
      <c r="L55" s="5">
        <v>-0.36413000000000001</v>
      </c>
      <c r="M55" s="5">
        <v>-0.34879399999999999</v>
      </c>
      <c r="N55" s="5">
        <v>-0.42174600000000001</v>
      </c>
    </row>
    <row r="56" spans="1:14" x14ac:dyDescent="0.25">
      <c r="A56" s="4" t="s">
        <v>69</v>
      </c>
      <c r="B56" s="5">
        <v>0.45054949999999999</v>
      </c>
      <c r="C56" s="5">
        <v>8.1967200000000004E-2</v>
      </c>
      <c r="D56" s="5">
        <v>0.38947369999999998</v>
      </c>
      <c r="E56" s="5">
        <v>0.26923079999999999</v>
      </c>
      <c r="F56" s="5">
        <v>-3.6496000000000001E-2</v>
      </c>
      <c r="G56" s="5">
        <v>7.6335999999999999E-3</v>
      </c>
      <c r="H56" s="5">
        <v>-3.6496000000000001E-2</v>
      </c>
      <c r="I56" s="5">
        <v>-7.6923000000000005E-2</v>
      </c>
      <c r="J56" s="5">
        <v>-0.56721299999999997</v>
      </c>
      <c r="K56" s="5">
        <v>-0.60360400000000003</v>
      </c>
      <c r="L56" s="5">
        <v>-0.59878399999999998</v>
      </c>
      <c r="M56" s="5">
        <v>-0.507463</v>
      </c>
      <c r="N56" s="5">
        <v>-0.56291400000000003</v>
      </c>
    </row>
    <row r="57" spans="1:14" x14ac:dyDescent="0.25">
      <c r="A57" s="4" t="s">
        <v>70</v>
      </c>
      <c r="B57" s="5">
        <v>-0.588889</v>
      </c>
      <c r="C57" s="5">
        <v>-0.45588200000000001</v>
      </c>
      <c r="D57" s="5">
        <v>0.9473684</v>
      </c>
      <c r="E57" s="5">
        <v>-0.27450999999999998</v>
      </c>
      <c r="F57" s="5">
        <v>-0.27450999999999998</v>
      </c>
      <c r="G57" s="5">
        <v>-0.21276600000000001</v>
      </c>
      <c r="H57" s="5">
        <v>-0.41269800000000001</v>
      </c>
      <c r="I57" s="5">
        <v>-0.57471300000000003</v>
      </c>
      <c r="J57" s="5">
        <v>-0.66964299999999999</v>
      </c>
      <c r="K57" s="5">
        <v>-0.68103400000000003</v>
      </c>
      <c r="L57" s="5">
        <v>-0.72992699999999999</v>
      </c>
      <c r="M57" s="5">
        <v>-0.88102899999999995</v>
      </c>
      <c r="N57" s="5">
        <v>-0.55421699999999996</v>
      </c>
    </row>
    <row r="58" spans="1:14" x14ac:dyDescent="0.25">
      <c r="A58" s="6" t="s">
        <v>71</v>
      </c>
      <c r="B58" s="7">
        <v>-7.5673000000000004E-2</v>
      </c>
      <c r="C58" s="7">
        <v>-7.456E-3</v>
      </c>
      <c r="D58" s="7">
        <v>0.49260100000000001</v>
      </c>
      <c r="E58" s="7">
        <v>-0.117309</v>
      </c>
      <c r="F58" s="7">
        <v>-0.113334</v>
      </c>
      <c r="G58" s="7">
        <v>-0.13189699999999999</v>
      </c>
      <c r="H58" s="7">
        <v>-0.17836099999999999</v>
      </c>
      <c r="I58" s="7">
        <v>-0.166933</v>
      </c>
      <c r="J58" s="7">
        <v>-0.31101099999999998</v>
      </c>
      <c r="K58" s="7">
        <v>-0.33824399999999999</v>
      </c>
      <c r="L58" s="7">
        <v>-0.40879900000000002</v>
      </c>
      <c r="M58" s="7">
        <v>-0.45720499999999997</v>
      </c>
      <c r="N58" s="7">
        <v>-0.49764000000000003</v>
      </c>
    </row>
    <row r="59" spans="1:14" ht="14.1" customHeight="1" x14ac:dyDescent="0.25">
      <c r="A59" s="8"/>
    </row>
  </sheetData>
  <pageMargins left="0.08" right="0.08"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5CD5B-EDDF-4525-B8A2-0294C82CBF5A}">
  <dimension ref="A1:P57"/>
  <sheetViews>
    <sheetView workbookViewId="0">
      <selection activeCell="F67" sqref="F67"/>
    </sheetView>
  </sheetViews>
  <sheetFormatPr defaultRowHeight="15" x14ac:dyDescent="0.25"/>
  <cols>
    <col min="1" max="1" width="16.5703125" bestFit="1" customWidth="1"/>
    <col min="2" max="2" width="18.42578125" bestFit="1" customWidth="1"/>
    <col min="3" max="3" width="26.28515625" bestFit="1" customWidth="1"/>
    <col min="4" max="4" width="23.140625" bestFit="1" customWidth="1"/>
    <col min="5" max="5" width="31" bestFit="1" customWidth="1"/>
    <col min="6" max="6" width="24.7109375" bestFit="1" customWidth="1"/>
    <col min="7" max="7" width="14.5703125" bestFit="1" customWidth="1"/>
  </cols>
  <sheetData>
    <row r="1" spans="1:16" x14ac:dyDescent="0.25">
      <c r="A1" t="s">
        <v>152</v>
      </c>
      <c r="B1" t="s">
        <v>73</v>
      </c>
      <c r="C1" t="s">
        <v>80</v>
      </c>
      <c r="D1" t="s">
        <v>153</v>
      </c>
      <c r="E1" t="s">
        <v>154</v>
      </c>
      <c r="F1" t="s">
        <v>155</v>
      </c>
      <c r="G1" t="s">
        <v>156</v>
      </c>
    </row>
    <row r="2" spans="1:16" hidden="1" x14ac:dyDescent="0.25">
      <c r="A2" t="s">
        <v>17</v>
      </c>
      <c r="B2" s="24">
        <v>0</v>
      </c>
      <c r="C2" s="24">
        <v>0</v>
      </c>
      <c r="D2" s="24">
        <v>0</v>
      </c>
      <c r="E2" s="24">
        <v>0</v>
      </c>
      <c r="F2" s="18" t="s">
        <v>158</v>
      </c>
      <c r="G2" s="18" t="s">
        <v>159</v>
      </c>
    </row>
    <row r="3" spans="1:16" hidden="1" x14ac:dyDescent="0.25">
      <c r="A3" t="s">
        <v>42</v>
      </c>
      <c r="B3" s="24">
        <v>0</v>
      </c>
      <c r="C3" s="24">
        <v>0</v>
      </c>
      <c r="D3" s="24">
        <v>0</v>
      </c>
      <c r="E3" s="24">
        <v>0</v>
      </c>
      <c r="F3" s="18" t="s">
        <v>163</v>
      </c>
      <c r="G3" s="18" t="s">
        <v>159</v>
      </c>
    </row>
    <row r="4" spans="1:16" hidden="1" x14ac:dyDescent="0.25">
      <c r="A4" t="s">
        <v>65</v>
      </c>
      <c r="B4" s="24">
        <v>1</v>
      </c>
      <c r="C4" s="24">
        <v>9</v>
      </c>
      <c r="D4" s="24">
        <v>1</v>
      </c>
      <c r="E4" s="24">
        <v>9</v>
      </c>
      <c r="F4" s="18" t="s">
        <v>165</v>
      </c>
      <c r="G4" s="18" t="s">
        <v>159</v>
      </c>
    </row>
    <row r="5" spans="1:16" hidden="1" x14ac:dyDescent="0.25">
      <c r="A5" t="s">
        <v>27</v>
      </c>
      <c r="B5" s="24">
        <v>1</v>
      </c>
      <c r="C5" s="24">
        <v>24</v>
      </c>
      <c r="D5" s="24">
        <v>1</v>
      </c>
      <c r="E5" s="24">
        <v>32</v>
      </c>
      <c r="F5" s="18" t="s">
        <v>162</v>
      </c>
      <c r="G5" s="18" t="s">
        <v>159</v>
      </c>
      <c r="O5" t="s">
        <v>174</v>
      </c>
      <c r="P5" t="s">
        <v>175</v>
      </c>
    </row>
    <row r="6" spans="1:16" hidden="1" x14ac:dyDescent="0.25">
      <c r="A6" t="s">
        <v>70</v>
      </c>
      <c r="B6" s="24">
        <v>1</v>
      </c>
      <c r="C6" s="24">
        <v>90</v>
      </c>
      <c r="D6" s="24">
        <v>1</v>
      </c>
      <c r="E6" s="24">
        <v>37</v>
      </c>
      <c r="F6" s="18" t="s">
        <v>157</v>
      </c>
      <c r="G6" s="18" t="s">
        <v>72</v>
      </c>
      <c r="O6" t="s">
        <v>176</v>
      </c>
      <c r="P6" s="23">
        <v>10</v>
      </c>
    </row>
    <row r="7" spans="1:16" hidden="1" x14ac:dyDescent="0.25">
      <c r="A7" t="s">
        <v>43</v>
      </c>
      <c r="B7" s="24">
        <v>3</v>
      </c>
      <c r="C7" s="24">
        <v>61</v>
      </c>
      <c r="D7" s="24">
        <v>3</v>
      </c>
      <c r="E7" s="24">
        <v>40</v>
      </c>
      <c r="F7" s="18" t="s">
        <v>157</v>
      </c>
      <c r="G7" s="18" t="s">
        <v>72</v>
      </c>
      <c r="O7" t="s">
        <v>177</v>
      </c>
      <c r="P7" s="23">
        <v>11</v>
      </c>
    </row>
    <row r="8" spans="1:16" hidden="1" x14ac:dyDescent="0.25">
      <c r="A8" t="s">
        <v>60</v>
      </c>
      <c r="B8" s="24">
        <v>1</v>
      </c>
      <c r="C8" s="24">
        <v>58</v>
      </c>
      <c r="D8" s="24">
        <v>1</v>
      </c>
      <c r="E8" s="24">
        <v>42</v>
      </c>
      <c r="F8" s="18" t="s">
        <v>157</v>
      </c>
      <c r="G8" s="18" t="s">
        <v>72</v>
      </c>
      <c r="O8" t="s">
        <v>178</v>
      </c>
      <c r="P8" s="23">
        <v>12</v>
      </c>
    </row>
    <row r="9" spans="1:16" hidden="1" x14ac:dyDescent="0.25">
      <c r="A9" t="s">
        <v>46</v>
      </c>
      <c r="B9" s="24">
        <v>1</v>
      </c>
      <c r="C9" s="24">
        <v>27</v>
      </c>
      <c r="D9" s="24">
        <v>1</v>
      </c>
      <c r="E9" s="24">
        <v>44</v>
      </c>
      <c r="F9" s="18" t="s">
        <v>157</v>
      </c>
      <c r="G9" s="18" t="s">
        <v>72</v>
      </c>
    </row>
    <row r="10" spans="1:16" hidden="1" x14ac:dyDescent="0.25">
      <c r="A10" t="s">
        <v>57</v>
      </c>
      <c r="B10" s="24">
        <v>2</v>
      </c>
      <c r="C10" s="24">
        <v>58</v>
      </c>
      <c r="D10" s="24">
        <v>2</v>
      </c>
      <c r="E10" s="24">
        <v>59</v>
      </c>
      <c r="F10" s="18" t="s">
        <v>164</v>
      </c>
      <c r="G10" s="18" t="s">
        <v>159</v>
      </c>
    </row>
    <row r="11" spans="1:16" hidden="1" x14ac:dyDescent="0.25">
      <c r="A11" t="s">
        <v>24</v>
      </c>
      <c r="B11" s="24">
        <v>1</v>
      </c>
      <c r="C11" s="24">
        <v>79</v>
      </c>
      <c r="D11" s="24">
        <v>1</v>
      </c>
      <c r="E11" s="24">
        <v>89</v>
      </c>
      <c r="F11" s="18" t="s">
        <v>157</v>
      </c>
      <c r="G11" s="18" t="s">
        <v>72</v>
      </c>
    </row>
    <row r="12" spans="1:16" hidden="1" x14ac:dyDescent="0.25">
      <c r="A12" t="s">
        <v>14</v>
      </c>
      <c r="B12" s="24">
        <v>2</v>
      </c>
      <c r="C12" s="24">
        <v>119</v>
      </c>
      <c r="D12" s="24">
        <v>2</v>
      </c>
      <c r="E12" s="24">
        <v>106</v>
      </c>
      <c r="F12" s="18" t="s">
        <v>157</v>
      </c>
      <c r="G12" s="18" t="s">
        <v>72</v>
      </c>
    </row>
    <row r="13" spans="1:16" hidden="1" x14ac:dyDescent="0.25">
      <c r="A13" t="s">
        <v>66</v>
      </c>
      <c r="B13" s="24">
        <v>2</v>
      </c>
      <c r="C13" s="24">
        <v>122</v>
      </c>
      <c r="D13" s="24">
        <v>2</v>
      </c>
      <c r="E13" s="24">
        <v>108</v>
      </c>
      <c r="F13" s="18" t="s">
        <v>157</v>
      </c>
      <c r="G13" s="18" t="s">
        <v>72</v>
      </c>
    </row>
    <row r="14" spans="1:16" hidden="1" x14ac:dyDescent="0.25">
      <c r="A14" t="s">
        <v>38</v>
      </c>
      <c r="B14" s="24">
        <v>1</v>
      </c>
      <c r="C14" s="24">
        <v>123</v>
      </c>
      <c r="D14" s="24">
        <v>1</v>
      </c>
      <c r="E14" s="24">
        <v>115</v>
      </c>
      <c r="F14" s="18" t="s">
        <v>157</v>
      </c>
      <c r="G14" s="18" t="s">
        <v>72</v>
      </c>
    </row>
    <row r="15" spans="1:16" hidden="1" x14ac:dyDescent="0.25">
      <c r="A15" t="s">
        <v>63</v>
      </c>
      <c r="B15" s="24">
        <v>3</v>
      </c>
      <c r="C15" s="24">
        <v>181</v>
      </c>
      <c r="D15" s="24">
        <v>3</v>
      </c>
      <c r="E15" s="24">
        <v>121</v>
      </c>
      <c r="F15" s="18" t="s">
        <v>157</v>
      </c>
      <c r="G15" s="18" t="s">
        <v>72</v>
      </c>
    </row>
    <row r="16" spans="1:16" hidden="1" x14ac:dyDescent="0.25">
      <c r="A16" t="s">
        <v>48</v>
      </c>
      <c r="B16" s="24">
        <v>3</v>
      </c>
      <c r="C16" s="24">
        <v>100</v>
      </c>
      <c r="D16" s="24">
        <v>3</v>
      </c>
      <c r="E16" s="24">
        <v>128</v>
      </c>
      <c r="F16" s="18" t="s">
        <v>157</v>
      </c>
      <c r="G16" s="18" t="s">
        <v>72</v>
      </c>
    </row>
    <row r="17" spans="1:7" hidden="1" x14ac:dyDescent="0.25">
      <c r="A17" t="s">
        <v>47</v>
      </c>
      <c r="B17" s="24">
        <v>3</v>
      </c>
      <c r="C17" s="24">
        <v>132</v>
      </c>
      <c r="D17" s="24">
        <v>3</v>
      </c>
      <c r="E17" s="24">
        <v>129</v>
      </c>
      <c r="F17" s="18" t="s">
        <v>157</v>
      </c>
      <c r="G17" s="18" t="s">
        <v>72</v>
      </c>
    </row>
    <row r="18" spans="1:7" hidden="1" x14ac:dyDescent="0.25">
      <c r="A18" t="s">
        <v>58</v>
      </c>
      <c r="B18" s="24">
        <v>1</v>
      </c>
      <c r="C18" s="24">
        <v>100</v>
      </c>
      <c r="D18" s="24">
        <v>1</v>
      </c>
      <c r="E18" s="24">
        <v>130</v>
      </c>
      <c r="F18" s="18" t="s">
        <v>157</v>
      </c>
      <c r="G18" s="18" t="s">
        <v>72</v>
      </c>
    </row>
    <row r="19" spans="1:7" hidden="1" x14ac:dyDescent="0.25">
      <c r="A19" t="s">
        <v>69</v>
      </c>
      <c r="B19" s="24">
        <v>4</v>
      </c>
      <c r="C19" s="24">
        <v>91</v>
      </c>
      <c r="D19" s="24">
        <v>4</v>
      </c>
      <c r="E19" s="24">
        <v>132</v>
      </c>
      <c r="F19" s="18" t="s">
        <v>157</v>
      </c>
      <c r="G19" s="18" t="s">
        <v>72</v>
      </c>
    </row>
    <row r="20" spans="1:7" hidden="1" x14ac:dyDescent="0.25">
      <c r="A20" t="s">
        <v>29</v>
      </c>
      <c r="B20" s="24">
        <v>3</v>
      </c>
      <c r="C20" s="24">
        <v>128</v>
      </c>
      <c r="D20" s="24">
        <v>3</v>
      </c>
      <c r="E20" s="24">
        <v>135</v>
      </c>
      <c r="F20" s="18" t="s">
        <v>157</v>
      </c>
      <c r="G20" s="18" t="s">
        <v>72</v>
      </c>
    </row>
    <row r="21" spans="1:7" hidden="1" x14ac:dyDescent="0.25">
      <c r="A21" t="s">
        <v>44</v>
      </c>
      <c r="B21" s="24">
        <v>1</v>
      </c>
      <c r="C21" s="24">
        <v>207</v>
      </c>
      <c r="D21" s="24">
        <v>1</v>
      </c>
      <c r="E21" s="24">
        <v>168</v>
      </c>
      <c r="F21" s="18" t="s">
        <v>157</v>
      </c>
      <c r="G21" s="18" t="s">
        <v>72</v>
      </c>
    </row>
    <row r="22" spans="1:7" hidden="1" x14ac:dyDescent="0.25">
      <c r="A22" t="s">
        <v>22</v>
      </c>
      <c r="B22" s="24">
        <v>2</v>
      </c>
      <c r="C22" s="24">
        <v>165</v>
      </c>
      <c r="D22" s="24">
        <v>2</v>
      </c>
      <c r="E22" s="24">
        <v>174</v>
      </c>
      <c r="F22" s="18" t="s">
        <v>157</v>
      </c>
      <c r="G22" s="18" t="s">
        <v>72</v>
      </c>
    </row>
    <row r="23" spans="1:7" hidden="1" x14ac:dyDescent="0.25">
      <c r="A23" t="s">
        <v>30</v>
      </c>
      <c r="B23" s="24">
        <v>2</v>
      </c>
      <c r="C23" s="24">
        <v>182</v>
      </c>
      <c r="D23" s="24">
        <v>2</v>
      </c>
      <c r="E23" s="24">
        <v>209</v>
      </c>
      <c r="F23" s="18" t="s">
        <v>157</v>
      </c>
      <c r="G23" s="18" t="s">
        <v>72</v>
      </c>
    </row>
    <row r="24" spans="1:7" hidden="1" x14ac:dyDescent="0.25">
      <c r="A24" t="s">
        <v>33</v>
      </c>
      <c r="B24" s="24">
        <v>5</v>
      </c>
      <c r="C24" s="24">
        <v>199</v>
      </c>
      <c r="D24" s="24">
        <v>5</v>
      </c>
      <c r="E24" s="24">
        <v>211</v>
      </c>
      <c r="F24" s="18" t="s">
        <v>157</v>
      </c>
      <c r="G24" s="18" t="s">
        <v>72</v>
      </c>
    </row>
    <row r="25" spans="1:7" hidden="1" x14ac:dyDescent="0.25">
      <c r="A25" t="s">
        <v>23</v>
      </c>
      <c r="B25" s="24">
        <v>1</v>
      </c>
      <c r="C25" s="24">
        <v>218</v>
      </c>
      <c r="D25" s="24">
        <v>1</v>
      </c>
      <c r="E25" s="24">
        <v>213</v>
      </c>
      <c r="F25" s="18" t="s">
        <v>160</v>
      </c>
      <c r="G25" s="18" t="s">
        <v>161</v>
      </c>
    </row>
    <row r="26" spans="1:7" hidden="1" x14ac:dyDescent="0.25">
      <c r="A26" t="s">
        <v>35</v>
      </c>
      <c r="B26" s="24">
        <v>7</v>
      </c>
      <c r="C26" s="24">
        <v>249</v>
      </c>
      <c r="D26" s="24">
        <v>7</v>
      </c>
      <c r="E26" s="24">
        <v>223</v>
      </c>
      <c r="F26" s="18" t="s">
        <v>157</v>
      </c>
      <c r="G26" s="18" t="s">
        <v>72</v>
      </c>
    </row>
    <row r="27" spans="1:7" hidden="1" x14ac:dyDescent="0.25">
      <c r="A27" t="s">
        <v>16</v>
      </c>
      <c r="B27" s="24">
        <v>5</v>
      </c>
      <c r="C27" s="24">
        <v>205</v>
      </c>
      <c r="D27" s="24">
        <v>5</v>
      </c>
      <c r="E27" s="24">
        <v>226</v>
      </c>
      <c r="F27" s="18" t="s">
        <v>157</v>
      </c>
      <c r="G27" s="18" t="s">
        <v>72</v>
      </c>
    </row>
    <row r="28" spans="1:7" hidden="1" x14ac:dyDescent="0.25">
      <c r="A28" t="s">
        <v>28</v>
      </c>
      <c r="B28" s="24">
        <v>2</v>
      </c>
      <c r="C28" s="24">
        <v>317</v>
      </c>
      <c r="D28" s="24">
        <v>2</v>
      </c>
      <c r="E28" s="24">
        <v>283</v>
      </c>
      <c r="F28" s="18" t="s">
        <v>157</v>
      </c>
      <c r="G28" s="18" t="s">
        <v>72</v>
      </c>
    </row>
    <row r="29" spans="1:7" hidden="1" x14ac:dyDescent="0.25">
      <c r="A29" t="s">
        <v>15</v>
      </c>
      <c r="B29" s="24">
        <v>8</v>
      </c>
      <c r="C29" s="24">
        <v>291</v>
      </c>
      <c r="D29" s="24">
        <v>9</v>
      </c>
      <c r="E29" s="24">
        <v>291</v>
      </c>
      <c r="F29" s="18" t="s">
        <v>157</v>
      </c>
      <c r="G29" s="18" t="s">
        <v>72</v>
      </c>
    </row>
    <row r="30" spans="1:7" hidden="1" x14ac:dyDescent="0.25">
      <c r="A30" t="s">
        <v>50</v>
      </c>
      <c r="B30" s="24">
        <v>2</v>
      </c>
      <c r="C30" s="24">
        <v>256</v>
      </c>
      <c r="D30" s="24">
        <v>2</v>
      </c>
      <c r="E30" s="24">
        <v>298</v>
      </c>
      <c r="F30" s="18" t="s">
        <v>157</v>
      </c>
      <c r="G30" s="18" t="s">
        <v>72</v>
      </c>
    </row>
    <row r="31" spans="1:7" hidden="1" x14ac:dyDescent="0.25">
      <c r="A31" t="s">
        <v>40</v>
      </c>
      <c r="B31" s="24">
        <v>10</v>
      </c>
      <c r="C31" s="24">
        <v>336</v>
      </c>
      <c r="D31" s="24">
        <v>10</v>
      </c>
      <c r="E31" s="24">
        <v>299</v>
      </c>
      <c r="F31" s="18" t="s">
        <v>157</v>
      </c>
      <c r="G31" s="18" t="s">
        <v>72</v>
      </c>
    </row>
    <row r="32" spans="1:7" hidden="1" x14ac:dyDescent="0.25">
      <c r="A32" t="s">
        <v>54</v>
      </c>
      <c r="B32" s="24">
        <v>8</v>
      </c>
      <c r="C32" s="24">
        <v>288</v>
      </c>
      <c r="D32" s="24">
        <v>8</v>
      </c>
      <c r="E32" s="24">
        <v>304</v>
      </c>
      <c r="F32" s="18" t="s">
        <v>157</v>
      </c>
      <c r="G32" s="18" t="s">
        <v>72</v>
      </c>
    </row>
    <row r="33" spans="1:7" hidden="1" x14ac:dyDescent="0.25">
      <c r="A33" t="s">
        <v>37</v>
      </c>
      <c r="B33" s="24">
        <v>10</v>
      </c>
      <c r="C33" s="24">
        <v>291</v>
      </c>
      <c r="D33" s="24">
        <v>10</v>
      </c>
      <c r="E33" s="24">
        <v>312</v>
      </c>
      <c r="F33" s="18" t="s">
        <v>157</v>
      </c>
      <c r="G33" s="18" t="s">
        <v>72</v>
      </c>
    </row>
    <row r="34" spans="1:7" hidden="1" x14ac:dyDescent="0.25">
      <c r="A34" t="s">
        <v>68</v>
      </c>
      <c r="B34" s="24">
        <v>4</v>
      </c>
      <c r="C34" s="24">
        <v>335</v>
      </c>
      <c r="D34" s="24">
        <v>4</v>
      </c>
      <c r="E34" s="24">
        <v>351</v>
      </c>
      <c r="F34" s="18" t="s">
        <v>157</v>
      </c>
      <c r="G34" s="18" t="s">
        <v>72</v>
      </c>
    </row>
    <row r="35" spans="1:7" hidden="1" x14ac:dyDescent="0.25">
      <c r="A35" t="s">
        <v>59</v>
      </c>
      <c r="B35" s="24">
        <v>4</v>
      </c>
      <c r="C35" s="24">
        <v>393</v>
      </c>
      <c r="D35" s="24">
        <v>4</v>
      </c>
      <c r="E35" s="24">
        <v>388</v>
      </c>
      <c r="F35" s="18" t="s">
        <v>157</v>
      </c>
      <c r="G35" s="18" t="s">
        <v>72</v>
      </c>
    </row>
    <row r="36" spans="1:7" hidden="1" x14ac:dyDescent="0.25">
      <c r="A36" t="s">
        <v>64</v>
      </c>
      <c r="B36" s="24">
        <v>16</v>
      </c>
      <c r="C36" s="24">
        <v>386</v>
      </c>
      <c r="D36" s="24">
        <v>16</v>
      </c>
      <c r="E36" s="24">
        <v>389</v>
      </c>
      <c r="F36" s="18" t="s">
        <v>157</v>
      </c>
      <c r="G36" s="18" t="s">
        <v>72</v>
      </c>
    </row>
    <row r="37" spans="1:7" hidden="1" x14ac:dyDescent="0.25">
      <c r="A37" t="s">
        <v>34</v>
      </c>
      <c r="B37" s="24">
        <v>3</v>
      </c>
      <c r="C37" s="24">
        <v>417</v>
      </c>
      <c r="D37" s="24">
        <v>3</v>
      </c>
      <c r="E37" s="24">
        <v>391</v>
      </c>
      <c r="F37" s="18" t="s">
        <v>157</v>
      </c>
      <c r="G37" s="18" t="s">
        <v>72</v>
      </c>
    </row>
    <row r="38" spans="1:7" hidden="1" x14ac:dyDescent="0.25">
      <c r="A38" t="s">
        <v>32</v>
      </c>
      <c r="B38" s="24">
        <v>2</v>
      </c>
      <c r="C38" s="24">
        <v>488</v>
      </c>
      <c r="D38" s="24">
        <v>2</v>
      </c>
      <c r="E38" s="24">
        <v>422</v>
      </c>
      <c r="F38" s="18" t="s">
        <v>157</v>
      </c>
      <c r="G38" s="18" t="s">
        <v>72</v>
      </c>
    </row>
    <row r="39" spans="1:7" hidden="1" x14ac:dyDescent="0.25">
      <c r="A39" t="s">
        <v>39</v>
      </c>
      <c r="B39" s="24">
        <v>20</v>
      </c>
      <c r="C39" s="24">
        <v>484</v>
      </c>
      <c r="D39" s="24">
        <v>20</v>
      </c>
      <c r="E39" s="24">
        <v>456</v>
      </c>
      <c r="F39" s="18" t="s">
        <v>157</v>
      </c>
      <c r="G39" s="18" t="s">
        <v>72</v>
      </c>
    </row>
    <row r="40" spans="1:7" hidden="1" x14ac:dyDescent="0.25">
      <c r="A40" t="s">
        <v>41</v>
      </c>
      <c r="B40" s="24">
        <v>8</v>
      </c>
      <c r="C40" s="24">
        <v>569</v>
      </c>
      <c r="D40" s="24">
        <v>8</v>
      </c>
      <c r="E40" s="24">
        <v>513</v>
      </c>
      <c r="F40" s="18" t="s">
        <v>157</v>
      </c>
      <c r="G40" s="18" t="s">
        <v>72</v>
      </c>
    </row>
    <row r="41" spans="1:7" hidden="1" x14ac:dyDescent="0.25">
      <c r="A41" t="s">
        <v>49</v>
      </c>
      <c r="B41" s="24">
        <v>16</v>
      </c>
      <c r="C41" s="24">
        <v>454</v>
      </c>
      <c r="D41" s="24">
        <v>16</v>
      </c>
      <c r="E41" s="24">
        <v>521</v>
      </c>
      <c r="F41" s="18" t="s">
        <v>157</v>
      </c>
      <c r="G41" s="18" t="s">
        <v>72</v>
      </c>
    </row>
    <row r="42" spans="1:7" hidden="1" x14ac:dyDescent="0.25">
      <c r="A42" t="s">
        <v>36</v>
      </c>
      <c r="B42" s="24">
        <v>12</v>
      </c>
      <c r="C42" s="24">
        <v>545</v>
      </c>
      <c r="D42" s="24">
        <v>11</v>
      </c>
      <c r="E42" s="24">
        <v>550</v>
      </c>
      <c r="F42" s="18" t="s">
        <v>157</v>
      </c>
      <c r="G42" s="18" t="s">
        <v>72</v>
      </c>
    </row>
    <row r="43" spans="1:7" hidden="1" x14ac:dyDescent="0.25">
      <c r="A43" t="s">
        <v>31</v>
      </c>
      <c r="B43" s="24">
        <v>19</v>
      </c>
      <c r="C43" s="24">
        <v>523</v>
      </c>
      <c r="D43" s="24">
        <v>19</v>
      </c>
      <c r="E43" s="24">
        <v>559</v>
      </c>
      <c r="F43" s="18" t="s">
        <v>157</v>
      </c>
      <c r="G43" s="18" t="s">
        <v>72</v>
      </c>
    </row>
    <row r="44" spans="1:7" hidden="1" x14ac:dyDescent="0.25">
      <c r="A44" t="s">
        <v>61</v>
      </c>
      <c r="B44" s="24">
        <v>10</v>
      </c>
      <c r="C44" s="24">
        <v>759</v>
      </c>
      <c r="D44" s="24">
        <v>10</v>
      </c>
      <c r="E44" s="24">
        <v>570</v>
      </c>
      <c r="F44" s="18" t="s">
        <v>157</v>
      </c>
      <c r="G44" s="18" t="s">
        <v>72</v>
      </c>
    </row>
    <row r="45" spans="1:7" hidden="1" x14ac:dyDescent="0.25">
      <c r="A45" t="s">
        <v>53</v>
      </c>
      <c r="B45" s="24">
        <v>9</v>
      </c>
      <c r="C45" s="24">
        <v>623</v>
      </c>
      <c r="D45" s="24">
        <v>9</v>
      </c>
      <c r="E45" s="24">
        <v>589</v>
      </c>
      <c r="F45" s="18" t="s">
        <v>157</v>
      </c>
      <c r="G45" s="18" t="s">
        <v>72</v>
      </c>
    </row>
    <row r="46" spans="1:7" hidden="1" x14ac:dyDescent="0.25">
      <c r="A46" t="s">
        <v>51</v>
      </c>
      <c r="B46" s="24">
        <v>3</v>
      </c>
      <c r="C46" s="24">
        <v>1094</v>
      </c>
      <c r="D46" s="24">
        <v>3</v>
      </c>
      <c r="E46" s="24">
        <v>644</v>
      </c>
      <c r="F46" s="18" t="s">
        <v>157</v>
      </c>
      <c r="G46" s="18" t="s">
        <v>72</v>
      </c>
    </row>
    <row r="47" spans="1:7" hidden="1" x14ac:dyDescent="0.25">
      <c r="A47" t="s">
        <v>26</v>
      </c>
      <c r="B47" s="24">
        <v>9</v>
      </c>
      <c r="C47" s="24">
        <v>701</v>
      </c>
      <c r="D47" s="24">
        <v>9</v>
      </c>
      <c r="E47" s="24">
        <v>646</v>
      </c>
      <c r="F47" s="18" t="s">
        <v>157</v>
      </c>
      <c r="G47" s="18" t="s">
        <v>72</v>
      </c>
    </row>
    <row r="48" spans="1:7" x14ac:dyDescent="0.25">
      <c r="A48" t="s">
        <v>45</v>
      </c>
      <c r="B48" s="24">
        <v>12</v>
      </c>
      <c r="C48" s="24">
        <v>777</v>
      </c>
      <c r="D48" s="24">
        <v>12</v>
      </c>
      <c r="E48" s="24">
        <v>688</v>
      </c>
      <c r="F48" s="18" t="s">
        <v>157</v>
      </c>
      <c r="G48" s="18" t="s">
        <v>72</v>
      </c>
    </row>
    <row r="49" spans="1:7" x14ac:dyDescent="0.25">
      <c r="A49" t="s">
        <v>56</v>
      </c>
      <c r="B49" s="24">
        <v>16</v>
      </c>
      <c r="C49" s="24">
        <v>826</v>
      </c>
      <c r="D49" s="24">
        <v>16</v>
      </c>
      <c r="E49" s="24">
        <v>719</v>
      </c>
      <c r="F49" s="18" t="s">
        <v>157</v>
      </c>
      <c r="G49" s="18" t="s">
        <v>72</v>
      </c>
    </row>
    <row r="50" spans="1:7" x14ac:dyDescent="0.25">
      <c r="A50" t="s">
        <v>21</v>
      </c>
      <c r="B50" s="24">
        <v>4</v>
      </c>
      <c r="C50" s="24">
        <v>1022</v>
      </c>
      <c r="D50" s="24">
        <v>4</v>
      </c>
      <c r="E50" s="24">
        <v>978</v>
      </c>
      <c r="F50" s="18" t="s">
        <v>157</v>
      </c>
      <c r="G50" s="18" t="s">
        <v>72</v>
      </c>
    </row>
    <row r="51" spans="1:7" x14ac:dyDescent="0.25">
      <c r="A51" t="s">
        <v>19</v>
      </c>
      <c r="B51" s="24">
        <v>3</v>
      </c>
      <c r="C51" s="24">
        <v>932</v>
      </c>
      <c r="D51" s="24">
        <v>3</v>
      </c>
      <c r="E51" s="24">
        <v>994</v>
      </c>
      <c r="F51" s="18" t="s">
        <v>157</v>
      </c>
      <c r="G51" s="18" t="s">
        <v>72</v>
      </c>
    </row>
    <row r="52" spans="1:7" x14ac:dyDescent="0.25">
      <c r="A52" t="s">
        <v>52</v>
      </c>
      <c r="B52" s="24">
        <v>24</v>
      </c>
      <c r="C52" s="24">
        <v>1098</v>
      </c>
      <c r="D52" s="24">
        <v>24</v>
      </c>
      <c r="E52" s="24">
        <v>1180</v>
      </c>
      <c r="F52" s="18" t="s">
        <v>157</v>
      </c>
      <c r="G52" s="18" t="s">
        <v>72</v>
      </c>
    </row>
    <row r="53" spans="1:7" x14ac:dyDescent="0.25">
      <c r="A53" t="s">
        <v>55</v>
      </c>
      <c r="B53" s="24">
        <v>8</v>
      </c>
      <c r="C53" s="24">
        <v>1575</v>
      </c>
      <c r="D53" s="24">
        <v>8</v>
      </c>
      <c r="E53" s="24">
        <v>1407</v>
      </c>
      <c r="F53" s="18" t="s">
        <v>157</v>
      </c>
      <c r="G53" s="18" t="s">
        <v>72</v>
      </c>
    </row>
    <row r="54" spans="1:7" x14ac:dyDescent="0.25">
      <c r="A54" t="s">
        <v>67</v>
      </c>
      <c r="B54" s="24">
        <v>6</v>
      </c>
      <c r="C54" s="24">
        <v>1684</v>
      </c>
      <c r="D54" s="24">
        <v>6</v>
      </c>
      <c r="E54" s="24">
        <v>1780</v>
      </c>
      <c r="F54" s="18" t="s">
        <v>157</v>
      </c>
      <c r="G54" s="18" t="s">
        <v>72</v>
      </c>
    </row>
    <row r="55" spans="1:7" x14ac:dyDescent="0.25">
      <c r="A55" t="s">
        <v>62</v>
      </c>
      <c r="B55" s="24">
        <v>11</v>
      </c>
      <c r="C55" s="24">
        <v>2036</v>
      </c>
      <c r="D55" s="24">
        <v>11</v>
      </c>
      <c r="E55" s="24">
        <v>1837</v>
      </c>
      <c r="F55" s="18" t="s">
        <v>157</v>
      </c>
      <c r="G55" s="18" t="s">
        <v>72</v>
      </c>
    </row>
    <row r="56" spans="1:7" x14ac:dyDescent="0.25">
      <c r="A56" t="s">
        <v>25</v>
      </c>
      <c r="B56" s="24">
        <v>27</v>
      </c>
      <c r="C56" s="24">
        <v>2558</v>
      </c>
      <c r="D56" s="24">
        <v>27</v>
      </c>
      <c r="E56" s="24">
        <v>2333</v>
      </c>
      <c r="F56" s="18" t="s">
        <v>157</v>
      </c>
      <c r="G56" s="18" t="s">
        <v>72</v>
      </c>
    </row>
    <row r="57" spans="1:7" x14ac:dyDescent="0.25">
      <c r="A57" t="s">
        <v>20</v>
      </c>
      <c r="B57" s="24">
        <v>44</v>
      </c>
      <c r="C57" s="24">
        <v>10589</v>
      </c>
      <c r="D57" s="24">
        <v>44</v>
      </c>
      <c r="E57" s="24">
        <v>9310</v>
      </c>
      <c r="F57" s="18" t="s">
        <v>157</v>
      </c>
      <c r="G57" s="18" t="s">
        <v>72</v>
      </c>
    </row>
  </sheetData>
  <pageMargins left="0.7" right="0.7" top="0.75" bottom="0.75" header="0.3" footer="0.3"/>
  <pageSetup orientation="portrait" r:id="rId1"/>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5EDFD-879F-40B0-8776-3CF9448C9AF0}">
  <dimension ref="A1:BE15"/>
  <sheetViews>
    <sheetView workbookViewId="0"/>
  </sheetViews>
  <sheetFormatPr defaultRowHeight="15" x14ac:dyDescent="0.25"/>
  <cols>
    <col min="1" max="1" width="7.28515625" bestFit="1" customWidth="1"/>
    <col min="2" max="2" width="5.5703125" bestFit="1" customWidth="1"/>
    <col min="3" max="3" width="5.42578125" bestFit="1" customWidth="1"/>
    <col min="4" max="4" width="5.7109375" bestFit="1" customWidth="1"/>
    <col min="5" max="5" width="5.5703125" bestFit="1" customWidth="1"/>
    <col min="6" max="6" width="5.42578125" bestFit="1" customWidth="1"/>
    <col min="7" max="7" width="6" bestFit="1" customWidth="1"/>
    <col min="8" max="8" width="6.140625" bestFit="1" customWidth="1"/>
    <col min="9" max="9" width="5.7109375" bestFit="1" customWidth="1"/>
    <col min="10" max="10" width="6.140625" bestFit="1" customWidth="1"/>
    <col min="11" max="11" width="5.85546875" bestFit="1" customWidth="1"/>
    <col min="12" max="12" width="5.28515625" bestFit="1" customWidth="1"/>
    <col min="13" max="13" width="5.85546875" bestFit="1" customWidth="1"/>
    <col min="14" max="14" width="6" bestFit="1" customWidth="1"/>
    <col min="15" max="15" width="5.28515625" bestFit="1" customWidth="1"/>
    <col min="16" max="16" width="5" bestFit="1" customWidth="1"/>
    <col min="17" max="17" width="5.28515625" bestFit="1" customWidth="1"/>
    <col min="18" max="18" width="5" bestFit="1" customWidth="1"/>
    <col min="19" max="19" width="5.28515625" bestFit="1" customWidth="1"/>
    <col min="20" max="21" width="5.5703125" bestFit="1" customWidth="1"/>
    <col min="22" max="22" width="5.42578125" bestFit="1" customWidth="1"/>
    <col min="23" max="23" width="6" bestFit="1" customWidth="1"/>
    <col min="24" max="24" width="6.28515625" bestFit="1" customWidth="1"/>
    <col min="25" max="25" width="6" bestFit="1" customWidth="1"/>
    <col min="26" max="26" width="5.42578125" bestFit="1" customWidth="1"/>
    <col min="27" max="28" width="6.28515625" bestFit="1" customWidth="1"/>
    <col min="29" max="30" width="6" bestFit="1" customWidth="1"/>
    <col min="31" max="31" width="5.85546875" bestFit="1" customWidth="1"/>
    <col min="32" max="33" width="6.140625" bestFit="1" customWidth="1"/>
    <col min="34" max="34" width="5.85546875" bestFit="1" customWidth="1"/>
    <col min="35" max="35" width="6.140625" bestFit="1" customWidth="1"/>
    <col min="36" max="36" width="5.42578125" bestFit="1" customWidth="1"/>
    <col min="37" max="37" width="6.28515625" bestFit="1" customWidth="1"/>
    <col min="38" max="39" width="5.85546875" bestFit="1" customWidth="1"/>
    <col min="40" max="40" width="6.140625" bestFit="1" customWidth="1"/>
    <col min="41" max="41" width="5.85546875" bestFit="1" customWidth="1"/>
    <col min="42" max="42" width="6" bestFit="1" customWidth="1"/>
    <col min="43" max="43" width="5.5703125" bestFit="1" customWidth="1"/>
    <col min="44" max="44" width="5.7109375" bestFit="1" customWidth="1"/>
    <col min="45" max="45" width="5.140625" bestFit="1" customWidth="1"/>
    <col min="46" max="47" width="5.85546875" bestFit="1" customWidth="1"/>
    <col min="48" max="48" width="5.7109375" bestFit="1" customWidth="1"/>
    <col min="49" max="49" width="5.42578125" bestFit="1" customWidth="1"/>
    <col min="50" max="51" width="5.5703125" bestFit="1" customWidth="1"/>
    <col min="52" max="52" width="5" bestFit="1" customWidth="1"/>
    <col min="53" max="53" width="5.42578125" bestFit="1" customWidth="1"/>
    <col min="54" max="54" width="6.28515625" bestFit="1" customWidth="1"/>
    <col min="55" max="55" width="5.7109375" bestFit="1" customWidth="1"/>
    <col min="56" max="57" width="6.28515625" bestFit="1" customWidth="1"/>
  </cols>
  <sheetData>
    <row r="1" spans="1:57" x14ac:dyDescent="0.25">
      <c r="A1" t="s">
        <v>168</v>
      </c>
      <c r="B1" t="s">
        <v>14</v>
      </c>
      <c r="C1" t="s">
        <v>15</v>
      </c>
      <c r="D1" t="s">
        <v>16</v>
      </c>
      <c r="E1" t="s">
        <v>17</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38</v>
      </c>
      <c r="Z1" t="s">
        <v>39</v>
      </c>
      <c r="AA1" t="s">
        <v>40</v>
      </c>
      <c r="AB1" t="s">
        <v>41</v>
      </c>
      <c r="AC1" t="s">
        <v>42</v>
      </c>
      <c r="AD1" t="s">
        <v>43</v>
      </c>
      <c r="AE1" t="s">
        <v>44</v>
      </c>
      <c r="AF1" t="s">
        <v>45</v>
      </c>
      <c r="AG1" t="s">
        <v>46</v>
      </c>
      <c r="AH1" t="s">
        <v>47</v>
      </c>
      <c r="AI1" t="s">
        <v>48</v>
      </c>
      <c r="AJ1" t="s">
        <v>49</v>
      </c>
      <c r="AK1" t="s">
        <v>50</v>
      </c>
      <c r="AL1" t="s">
        <v>51</v>
      </c>
      <c r="AM1" t="s">
        <v>52</v>
      </c>
      <c r="AN1" t="s">
        <v>53</v>
      </c>
      <c r="AO1" t="s">
        <v>54</v>
      </c>
      <c r="AP1" t="s">
        <v>55</v>
      </c>
      <c r="AQ1" t="s">
        <v>56</v>
      </c>
      <c r="AR1" t="s">
        <v>57</v>
      </c>
      <c r="AS1" t="s">
        <v>58</v>
      </c>
      <c r="AT1" t="s">
        <v>59</v>
      </c>
      <c r="AU1" t="s">
        <v>60</v>
      </c>
      <c r="AV1" t="s">
        <v>61</v>
      </c>
      <c r="AW1" t="s">
        <v>62</v>
      </c>
      <c r="AX1" t="s">
        <v>63</v>
      </c>
      <c r="AY1" t="s">
        <v>64</v>
      </c>
      <c r="AZ1" t="s">
        <v>65</v>
      </c>
      <c r="BA1" t="s">
        <v>66</v>
      </c>
      <c r="BB1" t="s">
        <v>67</v>
      </c>
      <c r="BC1" t="s">
        <v>68</v>
      </c>
      <c r="BD1" t="s">
        <v>69</v>
      </c>
      <c r="BE1" t="s">
        <v>70</v>
      </c>
    </row>
    <row r="2" spans="1:57" x14ac:dyDescent="0.25">
      <c r="A2">
        <v>2011</v>
      </c>
      <c r="B2">
        <v>288</v>
      </c>
      <c r="C2">
        <v>659</v>
      </c>
      <c r="D2">
        <v>411</v>
      </c>
      <c r="E2" s="18" t="s">
        <v>18</v>
      </c>
      <c r="F2">
        <v>1528</v>
      </c>
      <c r="G2">
        <v>16783</v>
      </c>
      <c r="H2">
        <v>2074</v>
      </c>
      <c r="I2">
        <v>443</v>
      </c>
      <c r="J2">
        <v>515</v>
      </c>
      <c r="K2">
        <v>55</v>
      </c>
      <c r="L2">
        <v>5644</v>
      </c>
      <c r="M2">
        <v>2243</v>
      </c>
      <c r="N2">
        <v>33</v>
      </c>
      <c r="O2">
        <v>505</v>
      </c>
      <c r="P2">
        <v>267</v>
      </c>
      <c r="Q2">
        <v>250</v>
      </c>
      <c r="R2">
        <v>1081</v>
      </c>
      <c r="S2">
        <v>714</v>
      </c>
      <c r="T2">
        <v>384</v>
      </c>
      <c r="U2">
        <v>636</v>
      </c>
      <c r="V2">
        <v>950</v>
      </c>
      <c r="W2">
        <v>1268</v>
      </c>
      <c r="X2">
        <v>696</v>
      </c>
      <c r="Y2">
        <v>127</v>
      </c>
      <c r="Z2">
        <v>959</v>
      </c>
      <c r="AA2">
        <v>449</v>
      </c>
      <c r="AB2">
        <v>852</v>
      </c>
      <c r="AC2" t="s">
        <v>18</v>
      </c>
      <c r="AD2">
        <v>205</v>
      </c>
      <c r="AE2">
        <v>251</v>
      </c>
      <c r="AF2">
        <v>1248</v>
      </c>
      <c r="AG2">
        <v>124</v>
      </c>
      <c r="AH2">
        <v>310</v>
      </c>
      <c r="AI2">
        <v>126</v>
      </c>
      <c r="AJ2">
        <v>811</v>
      </c>
      <c r="AK2">
        <v>364</v>
      </c>
      <c r="AL2">
        <v>1240</v>
      </c>
      <c r="AM2">
        <v>5765</v>
      </c>
      <c r="AN2">
        <v>1279</v>
      </c>
      <c r="AO2">
        <v>356</v>
      </c>
      <c r="AP2">
        <v>1474</v>
      </c>
      <c r="AQ2">
        <v>1392</v>
      </c>
      <c r="AR2">
        <v>137</v>
      </c>
      <c r="AS2">
        <v>123</v>
      </c>
      <c r="AT2">
        <v>612</v>
      </c>
      <c r="AU2">
        <v>109</v>
      </c>
      <c r="AV2">
        <v>965</v>
      </c>
      <c r="AW2">
        <v>4891</v>
      </c>
      <c r="AX2">
        <v>345</v>
      </c>
      <c r="AY2">
        <v>931</v>
      </c>
      <c r="AZ2">
        <v>32</v>
      </c>
      <c r="BA2">
        <v>81</v>
      </c>
      <c r="BB2">
        <v>1478</v>
      </c>
      <c r="BC2">
        <v>607</v>
      </c>
      <c r="BD2">
        <v>302</v>
      </c>
      <c r="BE2">
        <v>83</v>
      </c>
    </row>
    <row r="3" spans="1:57" x14ac:dyDescent="0.25">
      <c r="A3">
        <v>2012</v>
      </c>
      <c r="B3">
        <v>256</v>
      </c>
      <c r="C3">
        <v>526</v>
      </c>
      <c r="D3">
        <v>362</v>
      </c>
      <c r="E3" s="18" t="s">
        <v>18</v>
      </c>
      <c r="F3">
        <v>1478</v>
      </c>
      <c r="G3">
        <v>14611</v>
      </c>
      <c r="H3">
        <v>1512</v>
      </c>
      <c r="I3">
        <v>332</v>
      </c>
      <c r="J3">
        <v>531</v>
      </c>
      <c r="K3">
        <v>66</v>
      </c>
      <c r="L3">
        <v>5331</v>
      </c>
      <c r="M3">
        <v>2297</v>
      </c>
      <c r="N3">
        <v>31</v>
      </c>
      <c r="O3">
        <v>507</v>
      </c>
      <c r="P3">
        <v>217</v>
      </c>
      <c r="Q3">
        <v>260</v>
      </c>
      <c r="R3">
        <v>1147</v>
      </c>
      <c r="S3">
        <v>687</v>
      </c>
      <c r="T3">
        <v>373</v>
      </c>
      <c r="U3">
        <v>440</v>
      </c>
      <c r="V3">
        <v>899</v>
      </c>
      <c r="W3">
        <v>1181</v>
      </c>
      <c r="X3">
        <v>617</v>
      </c>
      <c r="Y3">
        <v>116</v>
      </c>
      <c r="Z3">
        <v>1017</v>
      </c>
      <c r="AA3">
        <v>309</v>
      </c>
      <c r="AB3">
        <v>899</v>
      </c>
      <c r="AC3" t="s">
        <v>18</v>
      </c>
      <c r="AD3">
        <v>244</v>
      </c>
      <c r="AE3">
        <v>323</v>
      </c>
      <c r="AF3">
        <v>1413</v>
      </c>
      <c r="AG3">
        <v>160</v>
      </c>
      <c r="AH3">
        <v>249</v>
      </c>
      <c r="AI3">
        <v>127</v>
      </c>
      <c r="AJ3">
        <v>592</v>
      </c>
      <c r="AK3">
        <v>345</v>
      </c>
      <c r="AL3">
        <v>1229</v>
      </c>
      <c r="AM3">
        <v>4961</v>
      </c>
      <c r="AN3">
        <v>1244</v>
      </c>
      <c r="AO3">
        <v>404</v>
      </c>
      <c r="AP3">
        <v>1356</v>
      </c>
      <c r="AQ3">
        <v>1456</v>
      </c>
      <c r="AR3">
        <v>116</v>
      </c>
      <c r="AS3">
        <v>96</v>
      </c>
      <c r="AT3">
        <v>543</v>
      </c>
      <c r="AU3">
        <v>124</v>
      </c>
      <c r="AV3">
        <v>1285</v>
      </c>
      <c r="AW3">
        <v>4364</v>
      </c>
      <c r="AX3">
        <v>330</v>
      </c>
      <c r="AY3">
        <v>881</v>
      </c>
      <c r="AZ3">
        <v>33</v>
      </c>
      <c r="BA3">
        <v>109</v>
      </c>
      <c r="BB3">
        <v>1475</v>
      </c>
      <c r="BC3">
        <v>539</v>
      </c>
      <c r="BD3">
        <v>268</v>
      </c>
      <c r="BE3">
        <v>311</v>
      </c>
    </row>
    <row r="4" spans="1:57" x14ac:dyDescent="0.25">
      <c r="A4">
        <v>2013</v>
      </c>
      <c r="B4">
        <v>210</v>
      </c>
      <c r="C4">
        <v>511</v>
      </c>
      <c r="D4">
        <v>462</v>
      </c>
      <c r="E4" s="18" t="s">
        <v>18</v>
      </c>
      <c r="F4">
        <v>1222</v>
      </c>
      <c r="G4">
        <v>12895</v>
      </c>
      <c r="H4">
        <v>685</v>
      </c>
      <c r="I4">
        <v>341</v>
      </c>
      <c r="J4">
        <v>499</v>
      </c>
      <c r="K4">
        <v>89</v>
      </c>
      <c r="L4">
        <v>5505</v>
      </c>
      <c r="M4">
        <v>1805</v>
      </c>
      <c r="N4">
        <v>32</v>
      </c>
      <c r="O4">
        <v>558</v>
      </c>
      <c r="P4">
        <v>229</v>
      </c>
      <c r="Q4">
        <v>208</v>
      </c>
      <c r="R4">
        <v>1267</v>
      </c>
      <c r="S4">
        <v>743</v>
      </c>
      <c r="T4">
        <v>414</v>
      </c>
      <c r="U4">
        <v>607</v>
      </c>
      <c r="V4">
        <v>575</v>
      </c>
      <c r="W4">
        <v>1253</v>
      </c>
      <c r="X4">
        <v>673</v>
      </c>
      <c r="Y4">
        <v>164</v>
      </c>
      <c r="Z4">
        <v>1100</v>
      </c>
      <c r="AA4">
        <v>349</v>
      </c>
      <c r="AB4">
        <v>843</v>
      </c>
      <c r="AC4" t="s">
        <v>18</v>
      </c>
      <c r="AD4">
        <v>210</v>
      </c>
      <c r="AE4">
        <v>309</v>
      </c>
      <c r="AF4">
        <v>1123</v>
      </c>
      <c r="AG4">
        <v>241</v>
      </c>
      <c r="AH4">
        <v>183</v>
      </c>
      <c r="AI4">
        <v>125</v>
      </c>
      <c r="AJ4">
        <v>540</v>
      </c>
      <c r="AK4">
        <v>243</v>
      </c>
      <c r="AL4">
        <v>790</v>
      </c>
      <c r="AM4">
        <v>4659</v>
      </c>
      <c r="AN4">
        <v>1212</v>
      </c>
      <c r="AO4">
        <v>437</v>
      </c>
      <c r="AP4">
        <v>1494</v>
      </c>
      <c r="AQ4">
        <v>1462</v>
      </c>
      <c r="AR4">
        <v>82</v>
      </c>
      <c r="AS4">
        <v>97</v>
      </c>
      <c r="AT4">
        <v>636</v>
      </c>
      <c r="AU4">
        <v>125</v>
      </c>
      <c r="AV4">
        <v>991</v>
      </c>
      <c r="AW4">
        <v>3878</v>
      </c>
      <c r="AX4">
        <v>327</v>
      </c>
      <c r="AY4">
        <v>719</v>
      </c>
      <c r="AZ4">
        <v>33</v>
      </c>
      <c r="BA4">
        <v>128</v>
      </c>
      <c r="BB4">
        <v>1318</v>
      </c>
      <c r="BC4">
        <v>552</v>
      </c>
      <c r="BD4">
        <v>329</v>
      </c>
      <c r="BE4">
        <v>137</v>
      </c>
    </row>
    <row r="5" spans="1:57" x14ac:dyDescent="0.25">
      <c r="A5">
        <v>2014</v>
      </c>
      <c r="B5">
        <v>178</v>
      </c>
      <c r="C5">
        <v>542</v>
      </c>
      <c r="D5">
        <v>361</v>
      </c>
      <c r="E5" s="18" t="s">
        <v>18</v>
      </c>
      <c r="F5">
        <v>858</v>
      </c>
      <c r="G5">
        <v>12096</v>
      </c>
      <c r="H5">
        <v>753</v>
      </c>
      <c r="I5">
        <v>295</v>
      </c>
      <c r="J5">
        <v>406</v>
      </c>
      <c r="K5">
        <v>93</v>
      </c>
      <c r="L5">
        <v>4552</v>
      </c>
      <c r="M5">
        <v>1443</v>
      </c>
      <c r="N5">
        <v>36</v>
      </c>
      <c r="O5">
        <v>593</v>
      </c>
      <c r="P5">
        <v>202</v>
      </c>
      <c r="Q5">
        <v>215</v>
      </c>
      <c r="R5">
        <v>1234</v>
      </c>
      <c r="S5">
        <v>725</v>
      </c>
      <c r="T5">
        <v>393</v>
      </c>
      <c r="U5">
        <v>600</v>
      </c>
      <c r="V5">
        <v>437</v>
      </c>
      <c r="W5">
        <v>1264</v>
      </c>
      <c r="X5">
        <v>654</v>
      </c>
      <c r="Y5">
        <v>152</v>
      </c>
      <c r="Z5">
        <v>1122</v>
      </c>
      <c r="AA5">
        <v>317</v>
      </c>
      <c r="AB5">
        <v>652</v>
      </c>
      <c r="AC5" t="s">
        <v>18</v>
      </c>
      <c r="AD5">
        <v>279</v>
      </c>
      <c r="AE5">
        <v>256</v>
      </c>
      <c r="AF5">
        <v>1164</v>
      </c>
      <c r="AG5">
        <v>151</v>
      </c>
      <c r="AH5">
        <v>241</v>
      </c>
      <c r="AI5">
        <v>171</v>
      </c>
      <c r="AJ5">
        <v>630</v>
      </c>
      <c r="AK5">
        <v>318</v>
      </c>
      <c r="AL5">
        <v>1036</v>
      </c>
      <c r="AM5">
        <v>2542</v>
      </c>
      <c r="AN5">
        <v>1236</v>
      </c>
      <c r="AO5">
        <v>408</v>
      </c>
      <c r="AP5">
        <v>1292</v>
      </c>
      <c r="AQ5">
        <v>1411</v>
      </c>
      <c r="AR5">
        <v>87</v>
      </c>
      <c r="AS5">
        <v>108</v>
      </c>
      <c r="AT5">
        <v>703</v>
      </c>
      <c r="AU5">
        <v>132</v>
      </c>
      <c r="AV5">
        <v>1142</v>
      </c>
      <c r="AW5">
        <v>2718</v>
      </c>
      <c r="AX5">
        <v>317</v>
      </c>
      <c r="AY5">
        <v>620</v>
      </c>
      <c r="AZ5">
        <v>32</v>
      </c>
      <c r="BA5">
        <v>120</v>
      </c>
      <c r="BB5">
        <v>1433</v>
      </c>
      <c r="BC5">
        <v>520</v>
      </c>
      <c r="BD5">
        <v>333</v>
      </c>
      <c r="BE5">
        <v>116</v>
      </c>
    </row>
    <row r="6" spans="1:57" x14ac:dyDescent="0.25">
      <c r="A6">
        <v>2015</v>
      </c>
      <c r="B6">
        <v>180</v>
      </c>
      <c r="C6">
        <v>474</v>
      </c>
      <c r="D6">
        <v>456</v>
      </c>
      <c r="E6" s="18" t="s">
        <v>18</v>
      </c>
      <c r="F6">
        <v>1220</v>
      </c>
      <c r="G6">
        <v>11311</v>
      </c>
      <c r="H6">
        <v>950</v>
      </c>
      <c r="I6">
        <v>282</v>
      </c>
      <c r="J6">
        <v>408</v>
      </c>
      <c r="K6">
        <v>79</v>
      </c>
      <c r="L6">
        <v>3926</v>
      </c>
      <c r="M6">
        <v>1548</v>
      </c>
      <c r="N6">
        <v>23</v>
      </c>
      <c r="O6">
        <v>692</v>
      </c>
      <c r="P6">
        <v>207</v>
      </c>
      <c r="Q6">
        <v>249</v>
      </c>
      <c r="R6">
        <v>1226</v>
      </c>
      <c r="S6">
        <v>790</v>
      </c>
      <c r="T6">
        <v>311</v>
      </c>
      <c r="U6">
        <v>591</v>
      </c>
      <c r="V6">
        <v>392</v>
      </c>
      <c r="W6">
        <v>1133</v>
      </c>
      <c r="X6">
        <v>714</v>
      </c>
      <c r="Y6">
        <v>151</v>
      </c>
      <c r="Z6">
        <v>1067</v>
      </c>
      <c r="AA6">
        <v>297</v>
      </c>
      <c r="AB6">
        <v>540</v>
      </c>
      <c r="AC6" t="s">
        <v>18</v>
      </c>
      <c r="AD6">
        <v>206</v>
      </c>
      <c r="AE6">
        <v>277</v>
      </c>
      <c r="AF6">
        <v>1092</v>
      </c>
      <c r="AG6">
        <v>137</v>
      </c>
      <c r="AH6">
        <v>247</v>
      </c>
      <c r="AI6">
        <v>138</v>
      </c>
      <c r="AJ6">
        <v>696</v>
      </c>
      <c r="AK6">
        <v>278</v>
      </c>
      <c r="AL6">
        <v>860</v>
      </c>
      <c r="AM6">
        <v>2399</v>
      </c>
      <c r="AN6">
        <v>1183</v>
      </c>
      <c r="AO6">
        <v>351</v>
      </c>
      <c r="AP6">
        <v>1464</v>
      </c>
      <c r="AQ6">
        <v>1375</v>
      </c>
      <c r="AR6">
        <v>164</v>
      </c>
      <c r="AS6">
        <v>107</v>
      </c>
      <c r="AT6">
        <v>681</v>
      </c>
      <c r="AU6">
        <v>177</v>
      </c>
      <c r="AV6">
        <v>945</v>
      </c>
      <c r="AW6">
        <v>2393</v>
      </c>
      <c r="AX6">
        <v>337</v>
      </c>
      <c r="AY6">
        <v>604</v>
      </c>
      <c r="AZ6">
        <v>34</v>
      </c>
      <c r="BA6">
        <v>119</v>
      </c>
      <c r="BB6">
        <v>1293</v>
      </c>
      <c r="BC6">
        <v>534</v>
      </c>
      <c r="BD6">
        <v>305</v>
      </c>
      <c r="BE6">
        <v>112</v>
      </c>
    </row>
    <row r="7" spans="1:57" x14ac:dyDescent="0.25">
      <c r="A7">
        <v>2016</v>
      </c>
      <c r="B7">
        <v>168</v>
      </c>
      <c r="C7">
        <v>373</v>
      </c>
      <c r="D7">
        <v>222</v>
      </c>
      <c r="E7" s="18" t="s">
        <v>18</v>
      </c>
      <c r="F7">
        <v>1036</v>
      </c>
      <c r="G7">
        <v>9612</v>
      </c>
      <c r="H7">
        <v>1181</v>
      </c>
      <c r="I7">
        <v>216</v>
      </c>
      <c r="J7">
        <v>350</v>
      </c>
      <c r="K7">
        <v>107</v>
      </c>
      <c r="L7">
        <v>2902</v>
      </c>
      <c r="M7">
        <v>1055</v>
      </c>
      <c r="N7">
        <v>21</v>
      </c>
      <c r="O7">
        <v>670</v>
      </c>
      <c r="P7">
        <v>170</v>
      </c>
      <c r="Q7">
        <v>267</v>
      </c>
      <c r="R7">
        <v>949</v>
      </c>
      <c r="S7">
        <v>663</v>
      </c>
      <c r="T7">
        <v>169</v>
      </c>
      <c r="U7">
        <v>512</v>
      </c>
      <c r="V7">
        <v>400</v>
      </c>
      <c r="W7">
        <v>949</v>
      </c>
      <c r="X7">
        <v>555</v>
      </c>
      <c r="Y7">
        <v>146</v>
      </c>
      <c r="Z7">
        <v>822</v>
      </c>
      <c r="AA7">
        <v>279</v>
      </c>
      <c r="AB7">
        <v>575</v>
      </c>
      <c r="AC7" t="s">
        <v>18</v>
      </c>
      <c r="AD7">
        <v>144</v>
      </c>
      <c r="AE7">
        <v>165</v>
      </c>
      <c r="AF7">
        <v>888</v>
      </c>
      <c r="AG7">
        <v>116</v>
      </c>
      <c r="AH7">
        <v>219</v>
      </c>
      <c r="AI7">
        <v>123</v>
      </c>
      <c r="AJ7">
        <v>556</v>
      </c>
      <c r="AK7">
        <v>214</v>
      </c>
      <c r="AL7">
        <v>851</v>
      </c>
      <c r="AM7">
        <v>1248</v>
      </c>
      <c r="AN7">
        <v>930</v>
      </c>
      <c r="AO7">
        <v>358</v>
      </c>
      <c r="AP7">
        <v>1341</v>
      </c>
      <c r="AQ7">
        <v>1136</v>
      </c>
      <c r="AR7">
        <v>146</v>
      </c>
      <c r="AS7">
        <v>89</v>
      </c>
      <c r="AT7">
        <v>738</v>
      </c>
      <c r="AU7">
        <v>120</v>
      </c>
      <c r="AV7">
        <v>831</v>
      </c>
      <c r="AW7">
        <v>1768</v>
      </c>
      <c r="AX7">
        <v>335</v>
      </c>
      <c r="AY7">
        <v>515</v>
      </c>
      <c r="AZ7">
        <v>32</v>
      </c>
      <c r="BA7">
        <v>110</v>
      </c>
      <c r="BB7">
        <v>1484</v>
      </c>
      <c r="BC7">
        <v>415</v>
      </c>
      <c r="BD7">
        <v>143</v>
      </c>
      <c r="BE7">
        <v>87</v>
      </c>
    </row>
    <row r="8" spans="1:57" x14ac:dyDescent="0.25">
      <c r="A8">
        <v>2017</v>
      </c>
      <c r="B8">
        <v>124</v>
      </c>
      <c r="C8">
        <v>269</v>
      </c>
      <c r="D8">
        <v>239</v>
      </c>
      <c r="E8" s="18" t="s">
        <v>18</v>
      </c>
      <c r="F8">
        <v>970</v>
      </c>
      <c r="G8">
        <v>11436</v>
      </c>
      <c r="H8">
        <v>1078</v>
      </c>
      <c r="I8">
        <v>191</v>
      </c>
      <c r="J8">
        <v>285</v>
      </c>
      <c r="K8">
        <v>91</v>
      </c>
      <c r="L8">
        <v>2817</v>
      </c>
      <c r="M8">
        <v>712</v>
      </c>
      <c r="N8">
        <v>24</v>
      </c>
      <c r="O8">
        <v>615</v>
      </c>
      <c r="P8">
        <v>171</v>
      </c>
      <c r="Q8">
        <v>228</v>
      </c>
      <c r="R8">
        <v>864</v>
      </c>
      <c r="S8">
        <v>615</v>
      </c>
      <c r="T8">
        <v>217</v>
      </c>
      <c r="U8">
        <v>489</v>
      </c>
      <c r="V8">
        <v>383</v>
      </c>
      <c r="W8">
        <v>853</v>
      </c>
      <c r="X8">
        <v>536</v>
      </c>
      <c r="Y8">
        <v>131</v>
      </c>
      <c r="Z8">
        <v>773</v>
      </c>
      <c r="AA8">
        <v>281</v>
      </c>
      <c r="AB8">
        <v>538</v>
      </c>
      <c r="AC8">
        <v>0</v>
      </c>
      <c r="AD8">
        <v>57</v>
      </c>
      <c r="AE8">
        <v>205</v>
      </c>
      <c r="AF8">
        <v>931</v>
      </c>
      <c r="AG8">
        <v>74</v>
      </c>
      <c r="AH8">
        <v>174</v>
      </c>
      <c r="AI8">
        <v>124</v>
      </c>
      <c r="AJ8">
        <v>583</v>
      </c>
      <c r="AK8">
        <v>248</v>
      </c>
      <c r="AL8">
        <v>832</v>
      </c>
      <c r="AM8">
        <v>1244</v>
      </c>
      <c r="AN8">
        <v>862</v>
      </c>
      <c r="AO8">
        <v>349</v>
      </c>
      <c r="AP8">
        <v>1251</v>
      </c>
      <c r="AQ8">
        <v>963</v>
      </c>
      <c r="AR8">
        <v>94</v>
      </c>
      <c r="AS8">
        <v>95</v>
      </c>
      <c r="AT8">
        <v>480</v>
      </c>
      <c r="AU8">
        <v>130</v>
      </c>
      <c r="AV8">
        <v>757</v>
      </c>
      <c r="AW8">
        <v>2200</v>
      </c>
      <c r="AX8">
        <v>220</v>
      </c>
      <c r="AY8">
        <v>478</v>
      </c>
      <c r="AZ8">
        <v>23</v>
      </c>
      <c r="BA8">
        <v>94</v>
      </c>
      <c r="BB8">
        <v>2093</v>
      </c>
      <c r="BC8">
        <v>329</v>
      </c>
      <c r="BD8">
        <v>137</v>
      </c>
      <c r="BE8">
        <v>63</v>
      </c>
    </row>
    <row r="9" spans="1:57" x14ac:dyDescent="0.25">
      <c r="A9">
        <v>2018</v>
      </c>
      <c r="B9">
        <v>132</v>
      </c>
      <c r="C9">
        <v>339</v>
      </c>
      <c r="D9">
        <v>251</v>
      </c>
      <c r="E9" s="18" t="s">
        <v>18</v>
      </c>
      <c r="F9">
        <v>893</v>
      </c>
      <c r="G9">
        <v>10836</v>
      </c>
      <c r="H9">
        <v>1073</v>
      </c>
      <c r="I9">
        <v>190</v>
      </c>
      <c r="J9">
        <v>306</v>
      </c>
      <c r="K9">
        <v>70</v>
      </c>
      <c r="L9">
        <v>2543</v>
      </c>
      <c r="M9">
        <v>705</v>
      </c>
      <c r="N9">
        <v>14</v>
      </c>
      <c r="O9">
        <v>532</v>
      </c>
      <c r="P9">
        <v>196</v>
      </c>
      <c r="Q9">
        <v>215</v>
      </c>
      <c r="R9">
        <v>804</v>
      </c>
      <c r="S9">
        <v>539</v>
      </c>
      <c r="T9">
        <v>195</v>
      </c>
      <c r="U9">
        <v>369</v>
      </c>
      <c r="V9">
        <v>406</v>
      </c>
      <c r="W9">
        <v>985</v>
      </c>
      <c r="X9">
        <v>574</v>
      </c>
      <c r="Y9">
        <v>119</v>
      </c>
      <c r="Z9">
        <v>693</v>
      </c>
      <c r="AA9">
        <v>301</v>
      </c>
      <c r="AB9">
        <v>507</v>
      </c>
      <c r="AC9">
        <v>0</v>
      </c>
      <c r="AD9">
        <v>102</v>
      </c>
      <c r="AE9">
        <v>198</v>
      </c>
      <c r="AF9">
        <v>884</v>
      </c>
      <c r="AG9">
        <v>9</v>
      </c>
      <c r="AH9">
        <v>171</v>
      </c>
      <c r="AI9">
        <v>143</v>
      </c>
      <c r="AJ9">
        <v>555</v>
      </c>
      <c r="AK9">
        <v>290</v>
      </c>
      <c r="AL9">
        <v>723</v>
      </c>
      <c r="AM9">
        <v>1224</v>
      </c>
      <c r="AN9">
        <v>749</v>
      </c>
      <c r="AO9">
        <v>313</v>
      </c>
      <c r="AP9">
        <v>1363</v>
      </c>
      <c r="AQ9">
        <v>982</v>
      </c>
      <c r="AR9">
        <v>82</v>
      </c>
      <c r="AS9">
        <v>103</v>
      </c>
      <c r="AT9">
        <v>415</v>
      </c>
      <c r="AU9">
        <v>110</v>
      </c>
      <c r="AV9">
        <v>742</v>
      </c>
      <c r="AW9">
        <v>1935</v>
      </c>
      <c r="AX9">
        <v>239</v>
      </c>
      <c r="AY9">
        <v>485</v>
      </c>
      <c r="AZ9">
        <v>24</v>
      </c>
      <c r="BA9">
        <v>104</v>
      </c>
      <c r="BB9">
        <v>1636</v>
      </c>
      <c r="BC9">
        <v>332</v>
      </c>
      <c r="BD9">
        <v>131</v>
      </c>
      <c r="BE9">
        <v>47</v>
      </c>
    </row>
    <row r="10" spans="1:57" x14ac:dyDescent="0.25">
      <c r="A10">
        <v>2019</v>
      </c>
      <c r="B10">
        <v>111</v>
      </c>
      <c r="C10">
        <v>292</v>
      </c>
      <c r="D10">
        <v>238</v>
      </c>
      <c r="E10" s="18" t="s">
        <v>18</v>
      </c>
      <c r="F10">
        <v>910</v>
      </c>
      <c r="G10">
        <v>10980</v>
      </c>
      <c r="H10">
        <v>1068</v>
      </c>
      <c r="I10">
        <v>195</v>
      </c>
      <c r="J10">
        <v>297</v>
      </c>
      <c r="K10">
        <v>65</v>
      </c>
      <c r="L10">
        <v>2472</v>
      </c>
      <c r="M10">
        <v>801</v>
      </c>
      <c r="N10">
        <v>23</v>
      </c>
      <c r="O10">
        <v>505</v>
      </c>
      <c r="P10">
        <v>149</v>
      </c>
      <c r="Q10">
        <v>201</v>
      </c>
      <c r="R10">
        <v>690</v>
      </c>
      <c r="S10">
        <v>572</v>
      </c>
      <c r="T10">
        <v>189</v>
      </c>
      <c r="U10">
        <v>447</v>
      </c>
      <c r="V10">
        <v>360</v>
      </c>
      <c r="W10">
        <v>917</v>
      </c>
      <c r="X10">
        <v>490</v>
      </c>
      <c r="Y10">
        <v>116</v>
      </c>
      <c r="Z10">
        <v>599</v>
      </c>
      <c r="AA10">
        <v>297</v>
      </c>
      <c r="AB10">
        <v>488</v>
      </c>
      <c r="AC10">
        <v>4</v>
      </c>
      <c r="AD10">
        <v>72</v>
      </c>
      <c r="AE10">
        <v>205</v>
      </c>
      <c r="AF10">
        <v>907</v>
      </c>
      <c r="AG10">
        <v>49</v>
      </c>
      <c r="AH10">
        <v>175</v>
      </c>
      <c r="AI10">
        <v>113</v>
      </c>
      <c r="AJ10">
        <v>551</v>
      </c>
      <c r="AK10">
        <v>257</v>
      </c>
      <c r="AL10">
        <v>674</v>
      </c>
      <c r="AM10">
        <v>1270</v>
      </c>
      <c r="AN10">
        <v>676</v>
      </c>
      <c r="AO10">
        <v>280</v>
      </c>
      <c r="AP10">
        <v>1438</v>
      </c>
      <c r="AQ10">
        <v>857</v>
      </c>
      <c r="AR10">
        <v>90</v>
      </c>
      <c r="AS10">
        <v>92</v>
      </c>
      <c r="AT10">
        <v>462</v>
      </c>
      <c r="AU10">
        <v>66</v>
      </c>
      <c r="AV10">
        <v>679</v>
      </c>
      <c r="AW10">
        <v>1806</v>
      </c>
      <c r="AX10">
        <v>211</v>
      </c>
      <c r="AY10">
        <v>447</v>
      </c>
      <c r="AZ10">
        <v>13</v>
      </c>
      <c r="BA10">
        <v>87</v>
      </c>
      <c r="BB10">
        <v>1585</v>
      </c>
      <c r="BC10">
        <v>359</v>
      </c>
      <c r="BD10">
        <v>137</v>
      </c>
      <c r="BE10">
        <v>51</v>
      </c>
    </row>
    <row r="11" spans="1:57" x14ac:dyDescent="0.25">
      <c r="A11">
        <v>2020</v>
      </c>
      <c r="B11">
        <v>94</v>
      </c>
      <c r="C11">
        <v>329</v>
      </c>
      <c r="D11">
        <v>188</v>
      </c>
      <c r="E11" s="18" t="s">
        <v>18</v>
      </c>
      <c r="F11">
        <v>921</v>
      </c>
      <c r="G11">
        <v>11401</v>
      </c>
      <c r="H11">
        <v>1044</v>
      </c>
      <c r="I11">
        <v>199</v>
      </c>
      <c r="J11">
        <v>302</v>
      </c>
      <c r="K11">
        <v>78</v>
      </c>
      <c r="L11">
        <v>2436</v>
      </c>
      <c r="M11">
        <v>764</v>
      </c>
      <c r="N11">
        <v>21</v>
      </c>
      <c r="O11">
        <v>485</v>
      </c>
      <c r="P11">
        <v>154</v>
      </c>
      <c r="Q11">
        <v>178</v>
      </c>
      <c r="R11">
        <v>736</v>
      </c>
      <c r="S11">
        <v>530</v>
      </c>
      <c r="T11">
        <v>203</v>
      </c>
      <c r="U11">
        <v>399</v>
      </c>
      <c r="V11">
        <v>378</v>
      </c>
      <c r="W11">
        <v>836</v>
      </c>
      <c r="X11">
        <v>464</v>
      </c>
      <c r="Y11">
        <v>103</v>
      </c>
      <c r="Z11">
        <v>639</v>
      </c>
      <c r="AA11">
        <v>315</v>
      </c>
      <c r="AB11">
        <v>453</v>
      </c>
      <c r="AC11">
        <v>9</v>
      </c>
      <c r="AD11">
        <v>68</v>
      </c>
      <c r="AE11">
        <v>165</v>
      </c>
      <c r="AF11">
        <v>798</v>
      </c>
      <c r="AG11">
        <v>49</v>
      </c>
      <c r="AH11">
        <v>153</v>
      </c>
      <c r="AI11">
        <v>116</v>
      </c>
      <c r="AJ11">
        <v>595</v>
      </c>
      <c r="AK11">
        <v>252</v>
      </c>
      <c r="AL11">
        <v>924</v>
      </c>
      <c r="AM11">
        <v>1251</v>
      </c>
      <c r="AN11">
        <v>730</v>
      </c>
      <c r="AO11">
        <v>325</v>
      </c>
      <c r="AP11">
        <v>1329</v>
      </c>
      <c r="AQ11">
        <v>977</v>
      </c>
      <c r="AR11">
        <v>88</v>
      </c>
      <c r="AS11">
        <v>92</v>
      </c>
      <c r="AT11">
        <v>428</v>
      </c>
      <c r="AU11">
        <v>43</v>
      </c>
      <c r="AV11">
        <v>570</v>
      </c>
      <c r="AW11">
        <v>1948</v>
      </c>
      <c r="AX11">
        <v>114</v>
      </c>
      <c r="AY11">
        <v>395</v>
      </c>
      <c r="AZ11">
        <v>13</v>
      </c>
      <c r="BA11">
        <v>71</v>
      </c>
      <c r="BB11">
        <v>1607</v>
      </c>
      <c r="BC11">
        <v>337</v>
      </c>
      <c r="BD11">
        <v>104</v>
      </c>
      <c r="BE11">
        <v>51</v>
      </c>
    </row>
    <row r="12" spans="1:57" x14ac:dyDescent="0.25">
      <c r="A12">
        <v>2021</v>
      </c>
      <c r="B12">
        <v>36</v>
      </c>
      <c r="C12">
        <v>241</v>
      </c>
      <c r="D12">
        <v>102</v>
      </c>
      <c r="E12" s="18" t="s">
        <v>18</v>
      </c>
      <c r="F12">
        <v>637</v>
      </c>
      <c r="G12">
        <v>3351</v>
      </c>
      <c r="H12">
        <v>642</v>
      </c>
      <c r="I12">
        <v>125</v>
      </c>
      <c r="J12">
        <v>187</v>
      </c>
      <c r="K12">
        <v>74</v>
      </c>
      <c r="L12">
        <v>2011</v>
      </c>
      <c r="M12">
        <v>297</v>
      </c>
      <c r="N12">
        <v>12</v>
      </c>
      <c r="O12">
        <v>153</v>
      </c>
      <c r="P12">
        <v>120</v>
      </c>
      <c r="Q12">
        <v>128</v>
      </c>
      <c r="R12">
        <v>402</v>
      </c>
      <c r="S12">
        <v>495</v>
      </c>
      <c r="T12">
        <v>216</v>
      </c>
      <c r="U12">
        <v>266</v>
      </c>
      <c r="V12">
        <v>266</v>
      </c>
      <c r="W12">
        <v>534</v>
      </c>
      <c r="X12">
        <v>281</v>
      </c>
      <c r="Y12">
        <v>91</v>
      </c>
      <c r="Z12">
        <v>498</v>
      </c>
      <c r="AA12">
        <v>327</v>
      </c>
      <c r="AB12">
        <v>352</v>
      </c>
      <c r="AC12">
        <v>0</v>
      </c>
      <c r="AD12">
        <v>31</v>
      </c>
      <c r="AE12">
        <v>110</v>
      </c>
      <c r="AF12">
        <v>706</v>
      </c>
      <c r="AG12">
        <v>34</v>
      </c>
      <c r="AH12">
        <v>129</v>
      </c>
      <c r="AI12">
        <v>119</v>
      </c>
      <c r="AJ12">
        <v>438</v>
      </c>
      <c r="AK12">
        <v>169</v>
      </c>
      <c r="AL12">
        <v>749</v>
      </c>
      <c r="AM12">
        <v>1108</v>
      </c>
      <c r="AN12">
        <v>505</v>
      </c>
      <c r="AO12">
        <v>199</v>
      </c>
      <c r="AP12">
        <v>1000</v>
      </c>
      <c r="AQ12">
        <v>782</v>
      </c>
      <c r="AR12">
        <v>5</v>
      </c>
      <c r="AS12">
        <v>97</v>
      </c>
      <c r="AT12">
        <v>309</v>
      </c>
      <c r="AU12">
        <v>31</v>
      </c>
      <c r="AV12">
        <v>557</v>
      </c>
      <c r="AW12">
        <v>1279</v>
      </c>
      <c r="AX12">
        <v>129</v>
      </c>
      <c r="AY12">
        <v>348</v>
      </c>
      <c r="AZ12">
        <v>6</v>
      </c>
      <c r="BA12">
        <v>103</v>
      </c>
      <c r="BB12">
        <v>832</v>
      </c>
      <c r="BC12">
        <v>297</v>
      </c>
      <c r="BD12">
        <v>95</v>
      </c>
      <c r="BE12">
        <v>19</v>
      </c>
    </row>
    <row r="13" spans="1:57" x14ac:dyDescent="0.25">
      <c r="A13">
        <v>2022</v>
      </c>
      <c r="B13">
        <v>134</v>
      </c>
      <c r="C13">
        <v>308</v>
      </c>
      <c r="D13">
        <v>92</v>
      </c>
      <c r="E13" s="18" t="s">
        <v>18</v>
      </c>
      <c r="F13">
        <v>857</v>
      </c>
      <c r="G13">
        <v>10395</v>
      </c>
      <c r="H13">
        <v>738</v>
      </c>
      <c r="I13">
        <v>149</v>
      </c>
      <c r="J13">
        <v>208</v>
      </c>
      <c r="K13">
        <v>93</v>
      </c>
      <c r="L13">
        <v>2279</v>
      </c>
      <c r="M13">
        <v>664</v>
      </c>
      <c r="N13">
        <v>31</v>
      </c>
      <c r="O13">
        <v>306</v>
      </c>
      <c r="P13">
        <v>141</v>
      </c>
      <c r="Q13">
        <v>149</v>
      </c>
      <c r="R13">
        <v>524</v>
      </c>
      <c r="S13">
        <v>482</v>
      </c>
      <c r="T13">
        <v>218</v>
      </c>
      <c r="U13">
        <v>328</v>
      </c>
      <c r="V13">
        <v>322</v>
      </c>
      <c r="W13">
        <v>534</v>
      </c>
      <c r="X13">
        <v>303</v>
      </c>
      <c r="Y13">
        <v>243</v>
      </c>
      <c r="Z13">
        <v>498</v>
      </c>
      <c r="AA13">
        <v>290</v>
      </c>
      <c r="AB13">
        <v>476</v>
      </c>
      <c r="AC13">
        <v>9</v>
      </c>
      <c r="AD13">
        <v>139</v>
      </c>
      <c r="AE13">
        <v>172</v>
      </c>
      <c r="AF13">
        <v>687</v>
      </c>
      <c r="AG13">
        <v>37</v>
      </c>
      <c r="AH13">
        <v>145</v>
      </c>
      <c r="AI13">
        <v>127</v>
      </c>
      <c r="AJ13">
        <v>479</v>
      </c>
      <c r="AK13">
        <v>91</v>
      </c>
      <c r="AL13">
        <v>752</v>
      </c>
      <c r="AM13">
        <v>990</v>
      </c>
      <c r="AN13">
        <v>633</v>
      </c>
      <c r="AO13">
        <v>273</v>
      </c>
      <c r="AP13">
        <v>1460</v>
      </c>
      <c r="AQ13">
        <v>778</v>
      </c>
      <c r="AR13">
        <v>70</v>
      </c>
      <c r="AS13">
        <v>113</v>
      </c>
      <c r="AT13">
        <v>359</v>
      </c>
      <c r="AU13">
        <v>40</v>
      </c>
      <c r="AV13">
        <v>549</v>
      </c>
      <c r="AW13">
        <v>1711</v>
      </c>
      <c r="AX13">
        <v>155</v>
      </c>
      <c r="AY13">
        <v>392</v>
      </c>
      <c r="AZ13">
        <v>6</v>
      </c>
      <c r="BA13">
        <v>100</v>
      </c>
      <c r="BB13">
        <v>1569</v>
      </c>
      <c r="BC13">
        <v>341</v>
      </c>
      <c r="BD13">
        <v>122</v>
      </c>
      <c r="BE13">
        <v>68</v>
      </c>
    </row>
    <row r="14" spans="1:57" x14ac:dyDescent="0.25">
      <c r="A14">
        <v>2023</v>
      </c>
      <c r="B14">
        <v>119</v>
      </c>
      <c r="C14">
        <v>291</v>
      </c>
      <c r="D14">
        <v>205</v>
      </c>
      <c r="E14" s="18" t="s">
        <v>18</v>
      </c>
      <c r="F14">
        <v>932</v>
      </c>
      <c r="G14">
        <v>10589</v>
      </c>
      <c r="H14">
        <v>1022</v>
      </c>
      <c r="I14">
        <v>165</v>
      </c>
      <c r="J14">
        <v>218</v>
      </c>
      <c r="K14">
        <v>79</v>
      </c>
      <c r="L14">
        <v>2558</v>
      </c>
      <c r="M14">
        <v>701</v>
      </c>
      <c r="N14">
        <v>24</v>
      </c>
      <c r="O14">
        <v>317</v>
      </c>
      <c r="P14">
        <v>128</v>
      </c>
      <c r="Q14">
        <v>182</v>
      </c>
      <c r="R14">
        <v>523</v>
      </c>
      <c r="S14">
        <v>488</v>
      </c>
      <c r="T14">
        <v>199</v>
      </c>
      <c r="U14">
        <v>417</v>
      </c>
      <c r="V14">
        <v>249</v>
      </c>
      <c r="W14">
        <v>545</v>
      </c>
      <c r="X14">
        <v>291</v>
      </c>
      <c r="Y14">
        <v>123</v>
      </c>
      <c r="Z14">
        <v>484</v>
      </c>
      <c r="AA14">
        <v>336</v>
      </c>
      <c r="AB14">
        <v>569</v>
      </c>
      <c r="AC14" t="s">
        <v>18</v>
      </c>
      <c r="AD14">
        <v>61</v>
      </c>
      <c r="AE14">
        <v>207</v>
      </c>
      <c r="AF14">
        <v>777</v>
      </c>
      <c r="AG14">
        <v>27</v>
      </c>
      <c r="AH14">
        <v>132</v>
      </c>
      <c r="AI14">
        <v>100</v>
      </c>
      <c r="AJ14">
        <v>454</v>
      </c>
      <c r="AK14">
        <v>256</v>
      </c>
      <c r="AL14">
        <v>1094</v>
      </c>
      <c r="AM14">
        <v>1098</v>
      </c>
      <c r="AN14">
        <v>623</v>
      </c>
      <c r="AO14">
        <v>288</v>
      </c>
      <c r="AP14">
        <v>1575</v>
      </c>
      <c r="AQ14">
        <v>826</v>
      </c>
      <c r="AR14">
        <v>58</v>
      </c>
      <c r="AS14">
        <v>100</v>
      </c>
      <c r="AT14">
        <v>393</v>
      </c>
      <c r="AU14">
        <v>58</v>
      </c>
      <c r="AV14">
        <v>759</v>
      </c>
      <c r="AW14">
        <v>2036</v>
      </c>
      <c r="AX14">
        <v>181</v>
      </c>
      <c r="AY14">
        <v>386</v>
      </c>
      <c r="AZ14">
        <v>9</v>
      </c>
      <c r="BA14">
        <v>122</v>
      </c>
      <c r="BB14">
        <v>1684</v>
      </c>
      <c r="BC14">
        <v>335</v>
      </c>
      <c r="BD14">
        <v>91</v>
      </c>
      <c r="BE14">
        <v>90</v>
      </c>
    </row>
    <row r="15" spans="1:57" x14ac:dyDescent="0.25">
      <c r="A15">
        <v>2024</v>
      </c>
      <c r="B15">
        <v>106</v>
      </c>
      <c r="C15">
        <v>291</v>
      </c>
      <c r="D15">
        <v>226</v>
      </c>
      <c r="E15" s="18" t="s">
        <v>18</v>
      </c>
      <c r="F15">
        <v>994</v>
      </c>
      <c r="G15">
        <v>9310</v>
      </c>
      <c r="H15">
        <v>978</v>
      </c>
      <c r="I15">
        <v>174</v>
      </c>
      <c r="J15">
        <v>213</v>
      </c>
      <c r="K15">
        <v>89</v>
      </c>
      <c r="L15">
        <v>2333</v>
      </c>
      <c r="M15">
        <v>646</v>
      </c>
      <c r="N15">
        <v>32</v>
      </c>
      <c r="O15">
        <v>283</v>
      </c>
      <c r="P15">
        <v>135</v>
      </c>
      <c r="Q15">
        <v>209</v>
      </c>
      <c r="R15">
        <v>559</v>
      </c>
      <c r="S15">
        <v>422</v>
      </c>
      <c r="T15">
        <v>211</v>
      </c>
      <c r="U15">
        <v>391</v>
      </c>
      <c r="V15">
        <v>223</v>
      </c>
      <c r="W15">
        <v>550</v>
      </c>
      <c r="X15">
        <v>312</v>
      </c>
      <c r="Y15">
        <v>115</v>
      </c>
      <c r="Z15">
        <v>456</v>
      </c>
      <c r="AA15">
        <v>299</v>
      </c>
      <c r="AB15">
        <v>513</v>
      </c>
      <c r="AC15" t="s">
        <v>18</v>
      </c>
      <c r="AD15">
        <v>40</v>
      </c>
      <c r="AE15">
        <v>168</v>
      </c>
      <c r="AF15">
        <v>688</v>
      </c>
      <c r="AG15">
        <v>44</v>
      </c>
      <c r="AH15">
        <v>129</v>
      </c>
      <c r="AI15">
        <v>128</v>
      </c>
      <c r="AJ15">
        <v>521</v>
      </c>
      <c r="AK15">
        <v>298</v>
      </c>
      <c r="AL15">
        <v>644</v>
      </c>
      <c r="AM15">
        <v>1180</v>
      </c>
      <c r="AN15">
        <v>589</v>
      </c>
      <c r="AO15">
        <v>304</v>
      </c>
      <c r="AP15">
        <v>1407</v>
      </c>
      <c r="AQ15">
        <v>719</v>
      </c>
      <c r="AR15">
        <v>59</v>
      </c>
      <c r="AS15">
        <v>130</v>
      </c>
      <c r="AT15">
        <v>388</v>
      </c>
      <c r="AU15">
        <v>42</v>
      </c>
      <c r="AV15">
        <v>570</v>
      </c>
      <c r="AW15">
        <v>1837</v>
      </c>
      <c r="AX15">
        <v>121</v>
      </c>
      <c r="AY15">
        <v>389</v>
      </c>
      <c r="AZ15">
        <v>9</v>
      </c>
      <c r="BA15">
        <v>108</v>
      </c>
      <c r="BB15">
        <v>1780</v>
      </c>
      <c r="BC15">
        <v>351</v>
      </c>
      <c r="BD15">
        <v>132</v>
      </c>
      <c r="BE15">
        <v>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BAB7-8FFC-4A23-AC26-54B9CD91BE9E}">
  <dimension ref="A1:O57"/>
  <sheetViews>
    <sheetView workbookViewId="0">
      <selection activeCell="C3" sqref="C3"/>
    </sheetView>
  </sheetViews>
  <sheetFormatPr defaultRowHeight="15" x14ac:dyDescent="0.25"/>
  <cols>
    <col min="1" max="1" width="9" bestFit="1" customWidth="1"/>
    <col min="2" max="15" width="7.28515625" bestFit="1" customWidth="1"/>
  </cols>
  <sheetData>
    <row r="1" spans="1:15" x14ac:dyDescent="0.25">
      <c r="A1" t="s">
        <v>179</v>
      </c>
      <c r="B1" t="s">
        <v>180</v>
      </c>
      <c r="C1" t="s">
        <v>181</v>
      </c>
      <c r="D1" t="s">
        <v>182</v>
      </c>
      <c r="E1" t="s">
        <v>183</v>
      </c>
      <c r="F1" t="s">
        <v>184</v>
      </c>
      <c r="G1" t="s">
        <v>185</v>
      </c>
      <c r="H1" t="s">
        <v>186</v>
      </c>
      <c r="I1" t="s">
        <v>187</v>
      </c>
      <c r="J1" t="s">
        <v>188</v>
      </c>
      <c r="K1" t="s">
        <v>189</v>
      </c>
      <c r="L1" t="s">
        <v>190</v>
      </c>
      <c r="M1" t="s">
        <v>191</v>
      </c>
      <c r="N1" t="s">
        <v>192</v>
      </c>
      <c r="O1" t="s">
        <v>193</v>
      </c>
    </row>
    <row r="2" spans="1:15" x14ac:dyDescent="0.25">
      <c r="A2" s="18" t="s">
        <v>14</v>
      </c>
      <c r="B2">
        <v>288</v>
      </c>
      <c r="C2">
        <v>256</v>
      </c>
      <c r="D2">
        <v>210</v>
      </c>
      <c r="E2">
        <v>178</v>
      </c>
      <c r="F2">
        <v>180</v>
      </c>
      <c r="G2">
        <v>168</v>
      </c>
      <c r="H2">
        <v>124</v>
      </c>
      <c r="I2">
        <v>132</v>
      </c>
      <c r="J2">
        <v>111</v>
      </c>
      <c r="K2">
        <v>94</v>
      </c>
      <c r="L2">
        <v>36</v>
      </c>
      <c r="M2">
        <v>134</v>
      </c>
      <c r="N2">
        <v>119</v>
      </c>
      <c r="O2">
        <v>106</v>
      </c>
    </row>
    <row r="3" spans="1:15" x14ac:dyDescent="0.25">
      <c r="A3" s="18" t="s">
        <v>15</v>
      </c>
      <c r="B3">
        <v>659</v>
      </c>
      <c r="C3">
        <v>526</v>
      </c>
      <c r="D3">
        <v>511</v>
      </c>
      <c r="E3">
        <v>542</v>
      </c>
      <c r="F3">
        <v>474</v>
      </c>
      <c r="G3">
        <v>373</v>
      </c>
      <c r="H3">
        <v>269</v>
      </c>
      <c r="I3">
        <v>339</v>
      </c>
      <c r="J3">
        <v>292</v>
      </c>
      <c r="K3">
        <v>329</v>
      </c>
      <c r="L3">
        <v>241</v>
      </c>
      <c r="M3">
        <v>308</v>
      </c>
      <c r="N3">
        <v>291</v>
      </c>
      <c r="O3">
        <v>291</v>
      </c>
    </row>
    <row r="4" spans="1:15" x14ac:dyDescent="0.25">
      <c r="A4" s="18" t="s">
        <v>16</v>
      </c>
      <c r="B4">
        <v>411</v>
      </c>
      <c r="C4">
        <v>362</v>
      </c>
      <c r="D4">
        <v>462</v>
      </c>
      <c r="E4">
        <v>361</v>
      </c>
      <c r="F4">
        <v>456</v>
      </c>
      <c r="G4">
        <v>222</v>
      </c>
      <c r="H4">
        <v>239</v>
      </c>
      <c r="I4">
        <v>251</v>
      </c>
      <c r="J4">
        <v>238</v>
      </c>
      <c r="K4">
        <v>188</v>
      </c>
      <c r="L4">
        <v>102</v>
      </c>
      <c r="M4">
        <v>92</v>
      </c>
      <c r="N4">
        <v>205</v>
      </c>
      <c r="O4">
        <v>226</v>
      </c>
    </row>
    <row r="5" spans="1:15" x14ac:dyDescent="0.25">
      <c r="A5" s="18" t="s">
        <v>17</v>
      </c>
      <c r="B5" t="s">
        <v>18</v>
      </c>
      <c r="C5" t="s">
        <v>18</v>
      </c>
      <c r="D5" t="s">
        <v>18</v>
      </c>
      <c r="E5" t="s">
        <v>18</v>
      </c>
      <c r="F5" t="s">
        <v>18</v>
      </c>
      <c r="G5" t="s">
        <v>18</v>
      </c>
      <c r="H5" t="s">
        <v>18</v>
      </c>
      <c r="I5" t="s">
        <v>18</v>
      </c>
      <c r="J5" t="s">
        <v>18</v>
      </c>
      <c r="K5" t="s">
        <v>18</v>
      </c>
      <c r="L5" t="s">
        <v>18</v>
      </c>
      <c r="M5" t="s">
        <v>18</v>
      </c>
      <c r="N5" t="s">
        <v>18</v>
      </c>
      <c r="O5" t="s">
        <v>18</v>
      </c>
    </row>
    <row r="6" spans="1:15" x14ac:dyDescent="0.25">
      <c r="A6" s="18" t="s">
        <v>19</v>
      </c>
      <c r="B6">
        <v>1528</v>
      </c>
      <c r="C6">
        <v>1478</v>
      </c>
      <c r="D6">
        <v>1222</v>
      </c>
      <c r="E6">
        <v>858</v>
      </c>
      <c r="F6">
        <v>1220</v>
      </c>
      <c r="G6">
        <v>1036</v>
      </c>
      <c r="H6">
        <v>970</v>
      </c>
      <c r="I6">
        <v>893</v>
      </c>
      <c r="J6">
        <v>910</v>
      </c>
      <c r="K6">
        <v>921</v>
      </c>
      <c r="L6">
        <v>637</v>
      </c>
      <c r="M6">
        <v>857</v>
      </c>
      <c r="N6">
        <v>932</v>
      </c>
      <c r="O6">
        <v>994</v>
      </c>
    </row>
    <row r="7" spans="1:15" x14ac:dyDescent="0.25">
      <c r="A7" s="18" t="s">
        <v>20</v>
      </c>
      <c r="B7">
        <v>16783</v>
      </c>
      <c r="C7">
        <v>14611</v>
      </c>
      <c r="D7">
        <v>12895</v>
      </c>
      <c r="E7">
        <v>12096</v>
      </c>
      <c r="F7">
        <v>11311</v>
      </c>
      <c r="G7">
        <v>9612</v>
      </c>
      <c r="H7">
        <v>11436</v>
      </c>
      <c r="I7">
        <v>10836</v>
      </c>
      <c r="J7">
        <v>10980</v>
      </c>
      <c r="K7">
        <v>11401</v>
      </c>
      <c r="L7">
        <v>3351</v>
      </c>
      <c r="M7">
        <v>10395</v>
      </c>
      <c r="N7">
        <v>10589</v>
      </c>
      <c r="O7">
        <v>9310</v>
      </c>
    </row>
    <row r="8" spans="1:15" x14ac:dyDescent="0.25">
      <c r="A8" s="18" t="s">
        <v>21</v>
      </c>
      <c r="B8">
        <v>2074</v>
      </c>
      <c r="C8">
        <v>1512</v>
      </c>
      <c r="D8">
        <v>685</v>
      </c>
      <c r="E8">
        <v>753</v>
      </c>
      <c r="F8">
        <v>950</v>
      </c>
      <c r="G8">
        <v>1181</v>
      </c>
      <c r="H8">
        <v>1078</v>
      </c>
      <c r="I8">
        <v>1073</v>
      </c>
      <c r="J8">
        <v>1068</v>
      </c>
      <c r="K8">
        <v>1044</v>
      </c>
      <c r="L8">
        <v>642</v>
      </c>
      <c r="M8">
        <v>738</v>
      </c>
      <c r="N8">
        <v>1022</v>
      </c>
      <c r="O8">
        <v>978</v>
      </c>
    </row>
    <row r="9" spans="1:15" x14ac:dyDescent="0.25">
      <c r="A9" s="18" t="s">
        <v>22</v>
      </c>
      <c r="B9">
        <v>443</v>
      </c>
      <c r="C9">
        <v>332</v>
      </c>
      <c r="D9">
        <v>341</v>
      </c>
      <c r="E9">
        <v>295</v>
      </c>
      <c r="F9">
        <v>282</v>
      </c>
      <c r="G9">
        <v>216</v>
      </c>
      <c r="H9">
        <v>191</v>
      </c>
      <c r="I9">
        <v>190</v>
      </c>
      <c r="J9">
        <v>195</v>
      </c>
      <c r="K9">
        <v>199</v>
      </c>
      <c r="L9">
        <v>125</v>
      </c>
      <c r="M9">
        <v>149</v>
      </c>
      <c r="N9">
        <v>165</v>
      </c>
      <c r="O9">
        <v>174</v>
      </c>
    </row>
    <row r="10" spans="1:15" x14ac:dyDescent="0.25">
      <c r="A10" s="18" t="s">
        <v>23</v>
      </c>
      <c r="B10">
        <v>515</v>
      </c>
      <c r="C10">
        <v>531</v>
      </c>
      <c r="D10">
        <v>499</v>
      </c>
      <c r="E10">
        <v>406</v>
      </c>
      <c r="F10">
        <v>408</v>
      </c>
      <c r="G10">
        <v>350</v>
      </c>
      <c r="H10">
        <v>285</v>
      </c>
      <c r="I10">
        <v>306</v>
      </c>
      <c r="J10">
        <v>297</v>
      </c>
      <c r="K10">
        <v>302</v>
      </c>
      <c r="L10">
        <v>187</v>
      </c>
      <c r="M10">
        <v>208</v>
      </c>
      <c r="N10">
        <v>218</v>
      </c>
      <c r="O10">
        <v>213</v>
      </c>
    </row>
    <row r="11" spans="1:15" x14ac:dyDescent="0.25">
      <c r="A11" s="18" t="s">
        <v>24</v>
      </c>
      <c r="B11">
        <v>55</v>
      </c>
      <c r="C11">
        <v>66</v>
      </c>
      <c r="D11">
        <v>89</v>
      </c>
      <c r="E11">
        <v>93</v>
      </c>
      <c r="F11">
        <v>79</v>
      </c>
      <c r="G11">
        <v>107</v>
      </c>
      <c r="H11">
        <v>91</v>
      </c>
      <c r="I11">
        <v>70</v>
      </c>
      <c r="J11">
        <v>65</v>
      </c>
      <c r="K11">
        <v>78</v>
      </c>
      <c r="L11">
        <v>74</v>
      </c>
      <c r="M11">
        <v>93</v>
      </c>
      <c r="N11">
        <v>79</v>
      </c>
      <c r="O11">
        <v>89</v>
      </c>
    </row>
    <row r="12" spans="1:15" x14ac:dyDescent="0.25">
      <c r="A12" s="18" t="s">
        <v>25</v>
      </c>
      <c r="B12">
        <v>5644</v>
      </c>
      <c r="C12">
        <v>5331</v>
      </c>
      <c r="D12">
        <v>5505</v>
      </c>
      <c r="E12">
        <v>4552</v>
      </c>
      <c r="F12">
        <v>3926</v>
      </c>
      <c r="G12">
        <v>2902</v>
      </c>
      <c r="H12">
        <v>2817</v>
      </c>
      <c r="I12">
        <v>2543</v>
      </c>
      <c r="J12">
        <v>2472</v>
      </c>
      <c r="K12">
        <v>2436</v>
      </c>
      <c r="L12">
        <v>2011</v>
      </c>
      <c r="M12">
        <v>2279</v>
      </c>
      <c r="N12">
        <v>2558</v>
      </c>
      <c r="O12">
        <v>2333</v>
      </c>
    </row>
    <row r="13" spans="1:15" x14ac:dyDescent="0.25">
      <c r="A13" s="18" t="s">
        <v>26</v>
      </c>
      <c r="B13">
        <v>2243</v>
      </c>
      <c r="C13">
        <v>2297</v>
      </c>
      <c r="D13">
        <v>1805</v>
      </c>
      <c r="E13">
        <v>1443</v>
      </c>
      <c r="F13">
        <v>1548</v>
      </c>
      <c r="G13">
        <v>1055</v>
      </c>
      <c r="H13">
        <v>712</v>
      </c>
      <c r="I13">
        <v>705</v>
      </c>
      <c r="J13">
        <v>801</v>
      </c>
      <c r="K13">
        <v>764</v>
      </c>
      <c r="L13">
        <v>297</v>
      </c>
      <c r="M13">
        <v>664</v>
      </c>
      <c r="N13">
        <v>701</v>
      </c>
      <c r="O13">
        <v>646</v>
      </c>
    </row>
    <row r="14" spans="1:15" x14ac:dyDescent="0.25">
      <c r="A14" s="18" t="s">
        <v>27</v>
      </c>
      <c r="B14">
        <v>33</v>
      </c>
      <c r="C14">
        <v>31</v>
      </c>
      <c r="D14">
        <v>32</v>
      </c>
      <c r="E14">
        <v>36</v>
      </c>
      <c r="F14">
        <v>23</v>
      </c>
      <c r="G14">
        <v>21</v>
      </c>
      <c r="H14">
        <v>24</v>
      </c>
      <c r="I14">
        <v>14</v>
      </c>
      <c r="J14">
        <v>23</v>
      </c>
      <c r="K14">
        <v>21</v>
      </c>
      <c r="L14">
        <v>12</v>
      </c>
      <c r="M14">
        <v>31</v>
      </c>
      <c r="N14">
        <v>24</v>
      </c>
      <c r="O14">
        <v>32</v>
      </c>
    </row>
    <row r="15" spans="1:15" x14ac:dyDescent="0.25">
      <c r="A15" s="18" t="s">
        <v>28</v>
      </c>
      <c r="B15">
        <v>505</v>
      </c>
      <c r="C15">
        <v>507</v>
      </c>
      <c r="D15">
        <v>558</v>
      </c>
      <c r="E15">
        <v>593</v>
      </c>
      <c r="F15">
        <v>692</v>
      </c>
      <c r="G15">
        <v>670</v>
      </c>
      <c r="H15">
        <v>615</v>
      </c>
      <c r="I15">
        <v>532</v>
      </c>
      <c r="J15">
        <v>505</v>
      </c>
      <c r="K15">
        <v>485</v>
      </c>
      <c r="L15">
        <v>153</v>
      </c>
      <c r="M15">
        <v>306</v>
      </c>
      <c r="N15">
        <v>317</v>
      </c>
      <c r="O15">
        <v>283</v>
      </c>
    </row>
    <row r="16" spans="1:15" x14ac:dyDescent="0.25">
      <c r="A16" s="18" t="s">
        <v>29</v>
      </c>
      <c r="B16">
        <v>267</v>
      </c>
      <c r="C16">
        <v>217</v>
      </c>
      <c r="D16">
        <v>229</v>
      </c>
      <c r="E16">
        <v>202</v>
      </c>
      <c r="F16">
        <v>207</v>
      </c>
      <c r="G16">
        <v>170</v>
      </c>
      <c r="H16">
        <v>171</v>
      </c>
      <c r="I16">
        <v>196</v>
      </c>
      <c r="J16">
        <v>149</v>
      </c>
      <c r="K16">
        <v>154</v>
      </c>
      <c r="L16">
        <v>120</v>
      </c>
      <c r="M16">
        <v>141</v>
      </c>
      <c r="N16">
        <v>128</v>
      </c>
      <c r="O16">
        <v>135</v>
      </c>
    </row>
    <row r="17" spans="1:15" x14ac:dyDescent="0.25">
      <c r="A17" s="18" t="s">
        <v>30</v>
      </c>
      <c r="B17">
        <v>250</v>
      </c>
      <c r="C17">
        <v>260</v>
      </c>
      <c r="D17">
        <v>208</v>
      </c>
      <c r="E17">
        <v>215</v>
      </c>
      <c r="F17">
        <v>249</v>
      </c>
      <c r="G17">
        <v>267</v>
      </c>
      <c r="H17">
        <v>228</v>
      </c>
      <c r="I17">
        <v>215</v>
      </c>
      <c r="J17">
        <v>201</v>
      </c>
      <c r="K17">
        <v>178</v>
      </c>
      <c r="L17">
        <v>128</v>
      </c>
      <c r="M17">
        <v>149</v>
      </c>
      <c r="N17">
        <v>182</v>
      </c>
      <c r="O17">
        <v>209</v>
      </c>
    </row>
    <row r="18" spans="1:15" x14ac:dyDescent="0.25">
      <c r="A18" s="18" t="s">
        <v>31</v>
      </c>
      <c r="B18">
        <v>1081</v>
      </c>
      <c r="C18">
        <v>1147</v>
      </c>
      <c r="D18">
        <v>1267</v>
      </c>
      <c r="E18">
        <v>1234</v>
      </c>
      <c r="F18">
        <v>1226</v>
      </c>
      <c r="G18">
        <v>949</v>
      </c>
      <c r="H18">
        <v>864</v>
      </c>
      <c r="I18">
        <v>804</v>
      </c>
      <c r="J18">
        <v>690</v>
      </c>
      <c r="K18">
        <v>736</v>
      </c>
      <c r="L18">
        <v>402</v>
      </c>
      <c r="M18">
        <v>524</v>
      </c>
      <c r="N18">
        <v>523</v>
      </c>
      <c r="O18">
        <v>559</v>
      </c>
    </row>
    <row r="19" spans="1:15" x14ac:dyDescent="0.25">
      <c r="A19" s="18" t="s">
        <v>32</v>
      </c>
      <c r="B19">
        <v>714</v>
      </c>
      <c r="C19">
        <v>687</v>
      </c>
      <c r="D19">
        <v>743</v>
      </c>
      <c r="E19">
        <v>725</v>
      </c>
      <c r="F19">
        <v>790</v>
      </c>
      <c r="G19">
        <v>663</v>
      </c>
      <c r="H19">
        <v>615</v>
      </c>
      <c r="I19">
        <v>539</v>
      </c>
      <c r="J19">
        <v>572</v>
      </c>
      <c r="K19">
        <v>530</v>
      </c>
      <c r="L19">
        <v>495</v>
      </c>
      <c r="M19">
        <v>482</v>
      </c>
      <c r="N19">
        <v>488</v>
      </c>
      <c r="O19">
        <v>422</v>
      </c>
    </row>
    <row r="20" spans="1:15" x14ac:dyDescent="0.25">
      <c r="A20" s="18" t="s">
        <v>33</v>
      </c>
      <c r="B20">
        <v>384</v>
      </c>
      <c r="C20">
        <v>373</v>
      </c>
      <c r="D20">
        <v>414</v>
      </c>
      <c r="E20">
        <v>393</v>
      </c>
      <c r="F20">
        <v>311</v>
      </c>
      <c r="G20">
        <v>169</v>
      </c>
      <c r="H20">
        <v>217</v>
      </c>
      <c r="I20">
        <v>195</v>
      </c>
      <c r="J20">
        <v>189</v>
      </c>
      <c r="K20">
        <v>203</v>
      </c>
      <c r="L20">
        <v>216</v>
      </c>
      <c r="M20">
        <v>218</v>
      </c>
      <c r="N20">
        <v>199</v>
      </c>
      <c r="O20">
        <v>211</v>
      </c>
    </row>
    <row r="21" spans="1:15" x14ac:dyDescent="0.25">
      <c r="A21" s="18" t="s">
        <v>34</v>
      </c>
      <c r="B21">
        <v>636</v>
      </c>
      <c r="C21">
        <v>440</v>
      </c>
      <c r="D21">
        <v>607</v>
      </c>
      <c r="E21">
        <v>600</v>
      </c>
      <c r="F21">
        <v>591</v>
      </c>
      <c r="G21">
        <v>512</v>
      </c>
      <c r="H21">
        <v>489</v>
      </c>
      <c r="I21">
        <v>369</v>
      </c>
      <c r="J21">
        <v>447</v>
      </c>
      <c r="K21">
        <v>399</v>
      </c>
      <c r="L21">
        <v>266</v>
      </c>
      <c r="M21">
        <v>328</v>
      </c>
      <c r="N21">
        <v>417</v>
      </c>
      <c r="O21">
        <v>391</v>
      </c>
    </row>
    <row r="22" spans="1:15" x14ac:dyDescent="0.25">
      <c r="A22" s="18" t="s">
        <v>35</v>
      </c>
      <c r="B22">
        <v>950</v>
      </c>
      <c r="C22">
        <v>899</v>
      </c>
      <c r="D22">
        <v>575</v>
      </c>
      <c r="E22">
        <v>437</v>
      </c>
      <c r="F22">
        <v>392</v>
      </c>
      <c r="G22">
        <v>400</v>
      </c>
      <c r="H22">
        <v>383</v>
      </c>
      <c r="I22">
        <v>406</v>
      </c>
      <c r="J22">
        <v>360</v>
      </c>
      <c r="K22">
        <v>378</v>
      </c>
      <c r="L22">
        <v>266</v>
      </c>
      <c r="M22">
        <v>322</v>
      </c>
      <c r="N22">
        <v>249</v>
      </c>
      <c r="O22">
        <v>223</v>
      </c>
    </row>
    <row r="23" spans="1:15" x14ac:dyDescent="0.25">
      <c r="A23" s="18" t="s">
        <v>36</v>
      </c>
      <c r="B23">
        <v>1268</v>
      </c>
      <c r="C23">
        <v>1181</v>
      </c>
      <c r="D23">
        <v>1253</v>
      </c>
      <c r="E23">
        <v>1264</v>
      </c>
      <c r="F23">
        <v>1133</v>
      </c>
      <c r="G23">
        <v>949</v>
      </c>
      <c r="H23">
        <v>853</v>
      </c>
      <c r="I23">
        <v>985</v>
      </c>
      <c r="J23">
        <v>917</v>
      </c>
      <c r="K23">
        <v>836</v>
      </c>
      <c r="L23">
        <v>534</v>
      </c>
      <c r="M23">
        <v>534</v>
      </c>
      <c r="N23">
        <v>545</v>
      </c>
      <c r="O23">
        <v>550</v>
      </c>
    </row>
    <row r="24" spans="1:15" x14ac:dyDescent="0.25">
      <c r="A24" s="18" t="s">
        <v>37</v>
      </c>
      <c r="B24">
        <v>696</v>
      </c>
      <c r="C24">
        <v>617</v>
      </c>
      <c r="D24">
        <v>673</v>
      </c>
      <c r="E24">
        <v>654</v>
      </c>
      <c r="F24">
        <v>714</v>
      </c>
      <c r="G24">
        <v>555</v>
      </c>
      <c r="H24">
        <v>536</v>
      </c>
      <c r="I24">
        <v>574</v>
      </c>
      <c r="J24">
        <v>490</v>
      </c>
      <c r="K24">
        <v>464</v>
      </c>
      <c r="L24">
        <v>281</v>
      </c>
      <c r="M24">
        <v>303</v>
      </c>
      <c r="N24">
        <v>291</v>
      </c>
      <c r="O24">
        <v>312</v>
      </c>
    </row>
    <row r="25" spans="1:15" x14ac:dyDescent="0.25">
      <c r="A25" s="18" t="s">
        <v>38</v>
      </c>
      <c r="B25">
        <v>127</v>
      </c>
      <c r="C25">
        <v>116</v>
      </c>
      <c r="D25">
        <v>164</v>
      </c>
      <c r="E25">
        <v>152</v>
      </c>
      <c r="F25">
        <v>151</v>
      </c>
      <c r="G25">
        <v>146</v>
      </c>
      <c r="H25">
        <v>131</v>
      </c>
      <c r="I25">
        <v>119</v>
      </c>
      <c r="J25">
        <v>116</v>
      </c>
      <c r="K25">
        <v>103</v>
      </c>
      <c r="L25">
        <v>91</v>
      </c>
      <c r="M25">
        <v>243</v>
      </c>
      <c r="N25">
        <v>123</v>
      </c>
      <c r="O25">
        <v>115</v>
      </c>
    </row>
    <row r="26" spans="1:15" x14ac:dyDescent="0.25">
      <c r="A26" s="18" t="s">
        <v>39</v>
      </c>
      <c r="B26">
        <v>959</v>
      </c>
      <c r="C26">
        <v>1017</v>
      </c>
      <c r="D26">
        <v>1100</v>
      </c>
      <c r="E26">
        <v>1122</v>
      </c>
      <c r="F26">
        <v>1067</v>
      </c>
      <c r="G26">
        <v>822</v>
      </c>
      <c r="H26">
        <v>773</v>
      </c>
      <c r="I26">
        <v>693</v>
      </c>
      <c r="J26">
        <v>599</v>
      </c>
      <c r="K26">
        <v>639</v>
      </c>
      <c r="L26">
        <v>498</v>
      </c>
      <c r="M26">
        <v>498</v>
      </c>
      <c r="N26">
        <v>484</v>
      </c>
      <c r="O26">
        <v>456</v>
      </c>
    </row>
    <row r="27" spans="1:15" x14ac:dyDescent="0.25">
      <c r="A27" s="18" t="s">
        <v>40</v>
      </c>
      <c r="B27">
        <v>449</v>
      </c>
      <c r="C27">
        <v>309</v>
      </c>
      <c r="D27">
        <v>349</v>
      </c>
      <c r="E27">
        <v>317</v>
      </c>
      <c r="F27">
        <v>297</v>
      </c>
      <c r="G27">
        <v>279</v>
      </c>
      <c r="H27">
        <v>281</v>
      </c>
      <c r="I27">
        <v>301</v>
      </c>
      <c r="J27">
        <v>297</v>
      </c>
      <c r="K27">
        <v>315</v>
      </c>
      <c r="L27">
        <v>327</v>
      </c>
      <c r="M27">
        <v>290</v>
      </c>
      <c r="N27">
        <v>336</v>
      </c>
      <c r="O27">
        <v>299</v>
      </c>
    </row>
    <row r="28" spans="1:15" x14ac:dyDescent="0.25">
      <c r="A28" s="18" t="s">
        <v>41</v>
      </c>
      <c r="B28">
        <v>852</v>
      </c>
      <c r="C28">
        <v>899</v>
      </c>
      <c r="D28">
        <v>843</v>
      </c>
      <c r="E28">
        <v>652</v>
      </c>
      <c r="F28">
        <v>540</v>
      </c>
      <c r="G28">
        <v>575</v>
      </c>
      <c r="H28">
        <v>538</v>
      </c>
      <c r="I28">
        <v>507</v>
      </c>
      <c r="J28">
        <v>488</v>
      </c>
      <c r="K28">
        <v>453</v>
      </c>
      <c r="L28">
        <v>352</v>
      </c>
      <c r="M28">
        <v>476</v>
      </c>
      <c r="N28">
        <v>569</v>
      </c>
      <c r="O28">
        <v>513</v>
      </c>
    </row>
    <row r="29" spans="1:15" x14ac:dyDescent="0.25">
      <c r="A29" s="18" t="s">
        <v>42</v>
      </c>
      <c r="B29" t="s">
        <v>18</v>
      </c>
      <c r="C29" t="s">
        <v>18</v>
      </c>
      <c r="D29" t="s">
        <v>18</v>
      </c>
      <c r="E29" t="s">
        <v>18</v>
      </c>
      <c r="F29" t="s">
        <v>18</v>
      </c>
      <c r="G29" t="s">
        <v>18</v>
      </c>
      <c r="H29">
        <v>0</v>
      </c>
      <c r="I29">
        <v>0</v>
      </c>
      <c r="J29">
        <v>4</v>
      </c>
      <c r="K29">
        <v>9</v>
      </c>
      <c r="L29">
        <v>0</v>
      </c>
      <c r="M29">
        <v>9</v>
      </c>
      <c r="N29" t="s">
        <v>18</v>
      </c>
      <c r="O29" t="s">
        <v>18</v>
      </c>
    </row>
    <row r="30" spans="1:15" x14ac:dyDescent="0.25">
      <c r="A30" s="18" t="s">
        <v>43</v>
      </c>
      <c r="B30">
        <v>205</v>
      </c>
      <c r="C30">
        <v>244</v>
      </c>
      <c r="D30">
        <v>210</v>
      </c>
      <c r="E30">
        <v>279</v>
      </c>
      <c r="F30">
        <v>206</v>
      </c>
      <c r="G30">
        <v>144</v>
      </c>
      <c r="H30">
        <v>57</v>
      </c>
      <c r="I30">
        <v>102</v>
      </c>
      <c r="J30">
        <v>72</v>
      </c>
      <c r="K30">
        <v>68</v>
      </c>
      <c r="L30">
        <v>31</v>
      </c>
      <c r="M30">
        <v>139</v>
      </c>
      <c r="N30">
        <v>61</v>
      </c>
      <c r="O30">
        <v>40</v>
      </c>
    </row>
    <row r="31" spans="1:15" x14ac:dyDescent="0.25">
      <c r="A31" s="18" t="s">
        <v>44</v>
      </c>
      <c r="B31">
        <v>251</v>
      </c>
      <c r="C31">
        <v>323</v>
      </c>
      <c r="D31">
        <v>309</v>
      </c>
      <c r="E31">
        <v>256</v>
      </c>
      <c r="F31">
        <v>277</v>
      </c>
      <c r="G31">
        <v>165</v>
      </c>
      <c r="H31">
        <v>205</v>
      </c>
      <c r="I31">
        <v>198</v>
      </c>
      <c r="J31">
        <v>205</v>
      </c>
      <c r="K31">
        <v>165</v>
      </c>
      <c r="L31">
        <v>110</v>
      </c>
      <c r="M31">
        <v>172</v>
      </c>
      <c r="N31">
        <v>207</v>
      </c>
      <c r="O31">
        <v>168</v>
      </c>
    </row>
    <row r="32" spans="1:15" x14ac:dyDescent="0.25">
      <c r="A32" s="18" t="s">
        <v>45</v>
      </c>
      <c r="B32">
        <v>1248</v>
      </c>
      <c r="C32">
        <v>1413</v>
      </c>
      <c r="D32">
        <v>1123</v>
      </c>
      <c r="E32">
        <v>1164</v>
      </c>
      <c r="F32">
        <v>1092</v>
      </c>
      <c r="G32">
        <v>888</v>
      </c>
      <c r="H32">
        <v>931</v>
      </c>
      <c r="I32">
        <v>884</v>
      </c>
      <c r="J32">
        <v>907</v>
      </c>
      <c r="K32">
        <v>798</v>
      </c>
      <c r="L32">
        <v>706</v>
      </c>
      <c r="M32">
        <v>687</v>
      </c>
      <c r="N32">
        <v>777</v>
      </c>
      <c r="O32">
        <v>688</v>
      </c>
    </row>
    <row r="33" spans="1:15" x14ac:dyDescent="0.25">
      <c r="A33" s="18" t="s">
        <v>46</v>
      </c>
      <c r="B33">
        <v>124</v>
      </c>
      <c r="C33">
        <v>160</v>
      </c>
      <c r="D33">
        <v>241</v>
      </c>
      <c r="E33">
        <v>151</v>
      </c>
      <c r="F33">
        <v>137</v>
      </c>
      <c r="G33">
        <v>116</v>
      </c>
      <c r="H33">
        <v>74</v>
      </c>
      <c r="I33">
        <v>9</v>
      </c>
      <c r="J33">
        <v>49</v>
      </c>
      <c r="K33">
        <v>49</v>
      </c>
      <c r="L33">
        <v>34</v>
      </c>
      <c r="M33">
        <v>37</v>
      </c>
      <c r="N33">
        <v>27</v>
      </c>
      <c r="O33">
        <v>44</v>
      </c>
    </row>
    <row r="34" spans="1:15" x14ac:dyDescent="0.25">
      <c r="A34" s="18" t="s">
        <v>47</v>
      </c>
      <c r="B34">
        <v>310</v>
      </c>
      <c r="C34">
        <v>249</v>
      </c>
      <c r="D34">
        <v>183</v>
      </c>
      <c r="E34">
        <v>241</v>
      </c>
      <c r="F34">
        <v>247</v>
      </c>
      <c r="G34">
        <v>219</v>
      </c>
      <c r="H34">
        <v>174</v>
      </c>
      <c r="I34">
        <v>171</v>
      </c>
      <c r="J34">
        <v>175</v>
      </c>
      <c r="K34">
        <v>153</v>
      </c>
      <c r="L34">
        <v>129</v>
      </c>
      <c r="M34">
        <v>145</v>
      </c>
      <c r="N34">
        <v>132</v>
      </c>
      <c r="O34">
        <v>129</v>
      </c>
    </row>
    <row r="35" spans="1:15" x14ac:dyDescent="0.25">
      <c r="A35" s="18" t="s">
        <v>48</v>
      </c>
      <c r="B35">
        <v>126</v>
      </c>
      <c r="C35">
        <v>127</v>
      </c>
      <c r="D35">
        <v>125</v>
      </c>
      <c r="E35">
        <v>171</v>
      </c>
      <c r="F35">
        <v>138</v>
      </c>
      <c r="G35">
        <v>123</v>
      </c>
      <c r="H35">
        <v>124</v>
      </c>
      <c r="I35">
        <v>143</v>
      </c>
      <c r="J35">
        <v>113</v>
      </c>
      <c r="K35">
        <v>116</v>
      </c>
      <c r="L35">
        <v>119</v>
      </c>
      <c r="M35">
        <v>127</v>
      </c>
      <c r="N35">
        <v>100</v>
      </c>
      <c r="O35">
        <v>128</v>
      </c>
    </row>
    <row r="36" spans="1:15" x14ac:dyDescent="0.25">
      <c r="A36" s="18" t="s">
        <v>49</v>
      </c>
      <c r="B36">
        <v>811</v>
      </c>
      <c r="C36">
        <v>592</v>
      </c>
      <c r="D36">
        <v>540</v>
      </c>
      <c r="E36">
        <v>630</v>
      </c>
      <c r="F36">
        <v>696</v>
      </c>
      <c r="G36">
        <v>556</v>
      </c>
      <c r="H36">
        <v>583</v>
      </c>
      <c r="I36">
        <v>555</v>
      </c>
      <c r="J36">
        <v>551</v>
      </c>
      <c r="K36">
        <v>595</v>
      </c>
      <c r="L36">
        <v>438</v>
      </c>
      <c r="M36">
        <v>479</v>
      </c>
      <c r="N36">
        <v>454</v>
      </c>
      <c r="O36">
        <v>521</v>
      </c>
    </row>
    <row r="37" spans="1:15" x14ac:dyDescent="0.25">
      <c r="A37" s="18" t="s">
        <v>50</v>
      </c>
      <c r="B37">
        <v>364</v>
      </c>
      <c r="C37">
        <v>345</v>
      </c>
      <c r="D37">
        <v>243</v>
      </c>
      <c r="E37">
        <v>318</v>
      </c>
      <c r="F37">
        <v>278</v>
      </c>
      <c r="G37">
        <v>214</v>
      </c>
      <c r="H37">
        <v>248</v>
      </c>
      <c r="I37">
        <v>290</v>
      </c>
      <c r="J37">
        <v>257</v>
      </c>
      <c r="K37">
        <v>252</v>
      </c>
      <c r="L37">
        <v>169</v>
      </c>
      <c r="M37">
        <v>91</v>
      </c>
      <c r="N37">
        <v>256</v>
      </c>
      <c r="O37">
        <v>298</v>
      </c>
    </row>
    <row r="38" spans="1:15" x14ac:dyDescent="0.25">
      <c r="A38" s="18" t="s">
        <v>51</v>
      </c>
      <c r="B38">
        <v>1240</v>
      </c>
      <c r="C38">
        <v>1229</v>
      </c>
      <c r="D38">
        <v>790</v>
      </c>
      <c r="E38">
        <v>1036</v>
      </c>
      <c r="F38">
        <v>860</v>
      </c>
      <c r="G38">
        <v>851</v>
      </c>
      <c r="H38">
        <v>832</v>
      </c>
      <c r="I38">
        <v>723</v>
      </c>
      <c r="J38">
        <v>674</v>
      </c>
      <c r="K38">
        <v>924</v>
      </c>
      <c r="L38">
        <v>749</v>
      </c>
      <c r="M38">
        <v>752</v>
      </c>
      <c r="N38">
        <v>1094</v>
      </c>
      <c r="O38">
        <v>644</v>
      </c>
    </row>
    <row r="39" spans="1:15" x14ac:dyDescent="0.25">
      <c r="A39" s="18" t="s">
        <v>52</v>
      </c>
      <c r="B39">
        <v>5765</v>
      </c>
      <c r="C39">
        <v>4961</v>
      </c>
      <c r="D39">
        <v>4659</v>
      </c>
      <c r="E39">
        <v>2542</v>
      </c>
      <c r="F39">
        <v>2399</v>
      </c>
      <c r="G39">
        <v>1248</v>
      </c>
      <c r="H39">
        <v>1244</v>
      </c>
      <c r="I39">
        <v>1224</v>
      </c>
      <c r="J39">
        <v>1270</v>
      </c>
      <c r="K39">
        <v>1251</v>
      </c>
      <c r="L39">
        <v>1108</v>
      </c>
      <c r="M39">
        <v>990</v>
      </c>
      <c r="N39">
        <v>1098</v>
      </c>
      <c r="O39">
        <v>1180</v>
      </c>
    </row>
    <row r="40" spans="1:15" x14ac:dyDescent="0.25">
      <c r="A40" s="18" t="s">
        <v>53</v>
      </c>
      <c r="B40">
        <v>1279</v>
      </c>
      <c r="C40">
        <v>1244</v>
      </c>
      <c r="D40">
        <v>1212</v>
      </c>
      <c r="E40">
        <v>1236</v>
      </c>
      <c r="F40">
        <v>1183</v>
      </c>
      <c r="G40">
        <v>930</v>
      </c>
      <c r="H40">
        <v>862</v>
      </c>
      <c r="I40">
        <v>749</v>
      </c>
      <c r="J40">
        <v>676</v>
      </c>
      <c r="K40">
        <v>730</v>
      </c>
      <c r="L40">
        <v>505</v>
      </c>
      <c r="M40">
        <v>633</v>
      </c>
      <c r="N40">
        <v>623</v>
      </c>
      <c r="O40">
        <v>589</v>
      </c>
    </row>
    <row r="41" spans="1:15" x14ac:dyDescent="0.25">
      <c r="A41" s="18" t="s">
        <v>54</v>
      </c>
      <c r="B41">
        <v>356</v>
      </c>
      <c r="C41">
        <v>404</v>
      </c>
      <c r="D41">
        <v>437</v>
      </c>
      <c r="E41">
        <v>408</v>
      </c>
      <c r="F41">
        <v>351</v>
      </c>
      <c r="G41">
        <v>358</v>
      </c>
      <c r="H41">
        <v>349</v>
      </c>
      <c r="I41">
        <v>313</v>
      </c>
      <c r="J41">
        <v>280</v>
      </c>
      <c r="K41">
        <v>325</v>
      </c>
      <c r="L41">
        <v>199</v>
      </c>
      <c r="M41">
        <v>273</v>
      </c>
      <c r="N41">
        <v>288</v>
      </c>
      <c r="O41">
        <v>304</v>
      </c>
    </row>
    <row r="42" spans="1:15" x14ac:dyDescent="0.25">
      <c r="A42" s="18" t="s">
        <v>55</v>
      </c>
      <c r="B42">
        <v>1474</v>
      </c>
      <c r="C42">
        <v>1356</v>
      </c>
      <c r="D42">
        <v>1494</v>
      </c>
      <c r="E42">
        <v>1292</v>
      </c>
      <c r="F42">
        <v>1464</v>
      </c>
      <c r="G42">
        <v>1341</v>
      </c>
      <c r="H42">
        <v>1251</v>
      </c>
      <c r="I42">
        <v>1363</v>
      </c>
      <c r="J42">
        <v>1438</v>
      </c>
      <c r="K42">
        <v>1329</v>
      </c>
      <c r="L42">
        <v>1000</v>
      </c>
      <c r="M42">
        <v>1460</v>
      </c>
      <c r="N42">
        <v>1575</v>
      </c>
      <c r="O42">
        <v>1407</v>
      </c>
    </row>
    <row r="43" spans="1:15" x14ac:dyDescent="0.25">
      <c r="A43" s="18" t="s">
        <v>56</v>
      </c>
      <c r="B43">
        <v>1392</v>
      </c>
      <c r="C43">
        <v>1456</v>
      </c>
      <c r="D43">
        <v>1462</v>
      </c>
      <c r="E43">
        <v>1411</v>
      </c>
      <c r="F43">
        <v>1375</v>
      </c>
      <c r="G43">
        <v>1136</v>
      </c>
      <c r="H43">
        <v>963</v>
      </c>
      <c r="I43">
        <v>982</v>
      </c>
      <c r="J43">
        <v>857</v>
      </c>
      <c r="K43">
        <v>977</v>
      </c>
      <c r="L43">
        <v>782</v>
      </c>
      <c r="M43">
        <v>778</v>
      </c>
      <c r="N43">
        <v>826</v>
      </c>
      <c r="O43">
        <v>719</v>
      </c>
    </row>
    <row r="44" spans="1:15" x14ac:dyDescent="0.25">
      <c r="A44" s="18" t="s">
        <v>57</v>
      </c>
      <c r="B44">
        <v>137</v>
      </c>
      <c r="C44">
        <v>116</v>
      </c>
      <c r="D44">
        <v>82</v>
      </c>
      <c r="E44">
        <v>87</v>
      </c>
      <c r="F44">
        <v>164</v>
      </c>
      <c r="G44">
        <v>146</v>
      </c>
      <c r="H44">
        <v>94</v>
      </c>
      <c r="I44">
        <v>82</v>
      </c>
      <c r="J44">
        <v>90</v>
      </c>
      <c r="K44">
        <v>88</v>
      </c>
      <c r="L44">
        <v>5</v>
      </c>
      <c r="M44">
        <v>70</v>
      </c>
      <c r="N44">
        <v>58</v>
      </c>
      <c r="O44">
        <v>59</v>
      </c>
    </row>
    <row r="45" spans="1:15" x14ac:dyDescent="0.25">
      <c r="A45" s="18" t="s">
        <v>58</v>
      </c>
      <c r="B45">
        <v>123</v>
      </c>
      <c r="C45">
        <v>96</v>
      </c>
      <c r="D45">
        <v>97</v>
      </c>
      <c r="E45">
        <v>108</v>
      </c>
      <c r="F45">
        <v>107</v>
      </c>
      <c r="G45">
        <v>89</v>
      </c>
      <c r="H45">
        <v>95</v>
      </c>
      <c r="I45">
        <v>103</v>
      </c>
      <c r="J45">
        <v>92</v>
      </c>
      <c r="K45">
        <v>92</v>
      </c>
      <c r="L45">
        <v>97</v>
      </c>
      <c r="M45">
        <v>113</v>
      </c>
      <c r="N45">
        <v>100</v>
      </c>
      <c r="O45">
        <v>130</v>
      </c>
    </row>
    <row r="46" spans="1:15" x14ac:dyDescent="0.25">
      <c r="A46" s="18" t="s">
        <v>59</v>
      </c>
      <c r="B46">
        <v>612</v>
      </c>
      <c r="C46">
        <v>543</v>
      </c>
      <c r="D46">
        <v>636</v>
      </c>
      <c r="E46">
        <v>703</v>
      </c>
      <c r="F46">
        <v>681</v>
      </c>
      <c r="G46">
        <v>738</v>
      </c>
      <c r="H46">
        <v>480</v>
      </c>
      <c r="I46">
        <v>415</v>
      </c>
      <c r="J46">
        <v>462</v>
      </c>
      <c r="K46">
        <v>428</v>
      </c>
      <c r="L46">
        <v>309</v>
      </c>
      <c r="M46">
        <v>359</v>
      </c>
      <c r="N46">
        <v>393</v>
      </c>
      <c r="O46">
        <v>388</v>
      </c>
    </row>
    <row r="47" spans="1:15" x14ac:dyDescent="0.25">
      <c r="A47" s="18" t="s">
        <v>60</v>
      </c>
      <c r="B47">
        <v>109</v>
      </c>
      <c r="C47">
        <v>124</v>
      </c>
      <c r="D47">
        <v>125</v>
      </c>
      <c r="E47">
        <v>132</v>
      </c>
      <c r="F47">
        <v>177</v>
      </c>
      <c r="G47">
        <v>120</v>
      </c>
      <c r="H47">
        <v>130</v>
      </c>
      <c r="I47">
        <v>110</v>
      </c>
      <c r="J47">
        <v>66</v>
      </c>
      <c r="K47">
        <v>43</v>
      </c>
      <c r="L47">
        <v>31</v>
      </c>
      <c r="M47">
        <v>40</v>
      </c>
      <c r="N47">
        <v>58</v>
      </c>
      <c r="O47">
        <v>42</v>
      </c>
    </row>
    <row r="48" spans="1:15" x14ac:dyDescent="0.25">
      <c r="A48" s="18" t="s">
        <v>61</v>
      </c>
      <c r="B48">
        <v>965</v>
      </c>
      <c r="C48">
        <v>1285</v>
      </c>
      <c r="D48">
        <v>991</v>
      </c>
      <c r="E48">
        <v>1142</v>
      </c>
      <c r="F48">
        <v>945</v>
      </c>
      <c r="G48">
        <v>831</v>
      </c>
      <c r="H48">
        <v>757</v>
      </c>
      <c r="I48">
        <v>742</v>
      </c>
      <c r="J48">
        <v>679</v>
      </c>
      <c r="K48">
        <v>570</v>
      </c>
      <c r="L48">
        <v>557</v>
      </c>
      <c r="M48">
        <v>549</v>
      </c>
      <c r="N48">
        <v>759</v>
      </c>
      <c r="O48">
        <v>570</v>
      </c>
    </row>
    <row r="49" spans="1:15" x14ac:dyDescent="0.25">
      <c r="A49" s="18" t="s">
        <v>62</v>
      </c>
      <c r="B49">
        <v>4891</v>
      </c>
      <c r="C49">
        <v>4364</v>
      </c>
      <c r="D49">
        <v>3878</v>
      </c>
      <c r="E49">
        <v>2718</v>
      </c>
      <c r="F49">
        <v>2393</v>
      </c>
      <c r="G49">
        <v>1768</v>
      </c>
      <c r="H49">
        <v>2200</v>
      </c>
      <c r="I49">
        <v>1935</v>
      </c>
      <c r="J49">
        <v>1806</v>
      </c>
      <c r="K49">
        <v>1948</v>
      </c>
      <c r="L49">
        <v>1279</v>
      </c>
      <c r="M49">
        <v>1711</v>
      </c>
      <c r="N49">
        <v>2036</v>
      </c>
      <c r="O49">
        <v>1837</v>
      </c>
    </row>
    <row r="50" spans="1:15" x14ac:dyDescent="0.25">
      <c r="A50" s="18" t="s">
        <v>63</v>
      </c>
      <c r="B50">
        <v>345</v>
      </c>
      <c r="C50">
        <v>330</v>
      </c>
      <c r="D50">
        <v>327</v>
      </c>
      <c r="E50">
        <v>317</v>
      </c>
      <c r="F50">
        <v>337</v>
      </c>
      <c r="G50">
        <v>335</v>
      </c>
      <c r="H50">
        <v>220</v>
      </c>
      <c r="I50">
        <v>239</v>
      </c>
      <c r="J50">
        <v>211</v>
      </c>
      <c r="K50">
        <v>114</v>
      </c>
      <c r="L50">
        <v>129</v>
      </c>
      <c r="M50">
        <v>155</v>
      </c>
      <c r="N50">
        <v>181</v>
      </c>
      <c r="O50">
        <v>121</v>
      </c>
    </row>
    <row r="51" spans="1:15" x14ac:dyDescent="0.25">
      <c r="A51" s="18" t="s">
        <v>64</v>
      </c>
      <c r="B51">
        <v>931</v>
      </c>
      <c r="C51">
        <v>881</v>
      </c>
      <c r="D51">
        <v>719</v>
      </c>
      <c r="E51">
        <v>620</v>
      </c>
      <c r="F51">
        <v>604</v>
      </c>
      <c r="G51">
        <v>515</v>
      </c>
      <c r="H51">
        <v>478</v>
      </c>
      <c r="I51">
        <v>485</v>
      </c>
      <c r="J51">
        <v>447</v>
      </c>
      <c r="K51">
        <v>395</v>
      </c>
      <c r="L51">
        <v>348</v>
      </c>
      <c r="M51">
        <v>392</v>
      </c>
      <c r="N51">
        <v>386</v>
      </c>
      <c r="O51">
        <v>389</v>
      </c>
    </row>
    <row r="52" spans="1:15" x14ac:dyDescent="0.25">
      <c r="A52" s="18" t="s">
        <v>65</v>
      </c>
      <c r="B52">
        <v>32</v>
      </c>
      <c r="C52">
        <v>33</v>
      </c>
      <c r="D52">
        <v>33</v>
      </c>
      <c r="E52">
        <v>32</v>
      </c>
      <c r="F52">
        <v>34</v>
      </c>
      <c r="G52">
        <v>32</v>
      </c>
      <c r="H52">
        <v>23</v>
      </c>
      <c r="I52">
        <v>24</v>
      </c>
      <c r="J52">
        <v>13</v>
      </c>
      <c r="K52">
        <v>13</v>
      </c>
      <c r="L52">
        <v>6</v>
      </c>
      <c r="M52">
        <v>6</v>
      </c>
      <c r="N52">
        <v>9</v>
      </c>
      <c r="O52">
        <v>9</v>
      </c>
    </row>
    <row r="53" spans="1:15" x14ac:dyDescent="0.25">
      <c r="A53" s="18" t="s">
        <v>66</v>
      </c>
      <c r="B53">
        <v>81</v>
      </c>
      <c r="C53">
        <v>109</v>
      </c>
      <c r="D53">
        <v>128</v>
      </c>
      <c r="E53">
        <v>120</v>
      </c>
      <c r="F53">
        <v>119</v>
      </c>
      <c r="G53">
        <v>110</v>
      </c>
      <c r="H53">
        <v>94</v>
      </c>
      <c r="I53">
        <v>104</v>
      </c>
      <c r="J53">
        <v>87</v>
      </c>
      <c r="K53">
        <v>71</v>
      </c>
      <c r="L53">
        <v>103</v>
      </c>
      <c r="M53">
        <v>100</v>
      </c>
      <c r="N53">
        <v>122</v>
      </c>
      <c r="O53">
        <v>108</v>
      </c>
    </row>
    <row r="54" spans="1:15" x14ac:dyDescent="0.25">
      <c r="A54" s="18" t="s">
        <v>67</v>
      </c>
      <c r="B54">
        <v>1478</v>
      </c>
      <c r="C54">
        <v>1475</v>
      </c>
      <c r="D54">
        <v>1318</v>
      </c>
      <c r="E54">
        <v>1433</v>
      </c>
      <c r="F54">
        <v>1293</v>
      </c>
      <c r="G54">
        <v>1484</v>
      </c>
      <c r="H54">
        <v>2093</v>
      </c>
      <c r="I54">
        <v>1636</v>
      </c>
      <c r="J54">
        <v>1585</v>
      </c>
      <c r="K54">
        <v>1607</v>
      </c>
      <c r="L54">
        <v>832</v>
      </c>
      <c r="M54">
        <v>1569</v>
      </c>
      <c r="N54">
        <v>1684</v>
      </c>
      <c r="O54">
        <v>1780</v>
      </c>
    </row>
    <row r="55" spans="1:15" x14ac:dyDescent="0.25">
      <c r="A55" s="18" t="s">
        <v>68</v>
      </c>
      <c r="B55">
        <v>607</v>
      </c>
      <c r="C55">
        <v>539</v>
      </c>
      <c r="D55">
        <v>552</v>
      </c>
      <c r="E55">
        <v>520</v>
      </c>
      <c r="F55">
        <v>534</v>
      </c>
      <c r="G55">
        <v>415</v>
      </c>
      <c r="H55">
        <v>329</v>
      </c>
      <c r="I55">
        <v>332</v>
      </c>
      <c r="J55">
        <v>359</v>
      </c>
      <c r="K55">
        <v>337</v>
      </c>
      <c r="L55">
        <v>297</v>
      </c>
      <c r="M55">
        <v>341</v>
      </c>
      <c r="N55">
        <v>335</v>
      </c>
      <c r="O55">
        <v>351</v>
      </c>
    </row>
    <row r="56" spans="1:15" x14ac:dyDescent="0.25">
      <c r="A56" s="18" t="s">
        <v>69</v>
      </c>
      <c r="B56">
        <v>302</v>
      </c>
      <c r="C56">
        <v>268</v>
      </c>
      <c r="D56">
        <v>329</v>
      </c>
      <c r="E56">
        <v>333</v>
      </c>
      <c r="F56">
        <v>305</v>
      </c>
      <c r="G56">
        <v>143</v>
      </c>
      <c r="H56">
        <v>137</v>
      </c>
      <c r="I56">
        <v>131</v>
      </c>
      <c r="J56">
        <v>137</v>
      </c>
      <c r="K56">
        <v>104</v>
      </c>
      <c r="L56">
        <v>95</v>
      </c>
      <c r="M56">
        <v>122</v>
      </c>
      <c r="N56">
        <v>91</v>
      </c>
      <c r="O56">
        <v>132</v>
      </c>
    </row>
    <row r="57" spans="1:15" x14ac:dyDescent="0.25">
      <c r="A57" s="18" t="s">
        <v>70</v>
      </c>
      <c r="B57">
        <v>83</v>
      </c>
      <c r="C57">
        <v>311</v>
      </c>
      <c r="D57">
        <v>137</v>
      </c>
      <c r="E57">
        <v>116</v>
      </c>
      <c r="F57">
        <v>112</v>
      </c>
      <c r="G57">
        <v>87</v>
      </c>
      <c r="H57">
        <v>63</v>
      </c>
      <c r="I57">
        <v>47</v>
      </c>
      <c r="J57">
        <v>51</v>
      </c>
      <c r="K57">
        <v>51</v>
      </c>
      <c r="L57">
        <v>19</v>
      </c>
      <c r="M57">
        <v>68</v>
      </c>
      <c r="N57">
        <v>90</v>
      </c>
      <c r="O57">
        <v>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A155-EA3F-4091-9DA8-D8E252C59316}">
  <dimension ref="A1:BE19"/>
  <sheetViews>
    <sheetView workbookViewId="0">
      <selection activeCell="C11" sqref="C11"/>
    </sheetView>
  </sheetViews>
  <sheetFormatPr defaultRowHeight="15" x14ac:dyDescent="0.25"/>
  <cols>
    <col min="2" max="2" width="24.42578125" customWidth="1"/>
    <col min="3" max="3" width="23.42578125" customWidth="1"/>
    <col min="4" max="4" width="18" bestFit="1" customWidth="1"/>
    <col min="7" max="7" width="30" customWidth="1"/>
  </cols>
  <sheetData>
    <row r="1" spans="1:57" ht="26.25" x14ac:dyDescent="0.25">
      <c r="A1" s="19" t="s">
        <v>73</v>
      </c>
      <c r="B1" s="19" t="s">
        <v>74</v>
      </c>
    </row>
    <row r="5" spans="1:57" x14ac:dyDescent="0.25">
      <c r="A5" t="s">
        <v>168</v>
      </c>
      <c r="B5" t="s">
        <v>14</v>
      </c>
      <c r="C5" t="s">
        <v>15</v>
      </c>
      <c r="D5" t="s">
        <v>16</v>
      </c>
      <c r="E5" t="s">
        <v>17</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c r="AC5" t="s">
        <v>42</v>
      </c>
      <c r="AD5" t="s">
        <v>43</v>
      </c>
      <c r="AE5" t="s">
        <v>44</v>
      </c>
      <c r="AF5" t="s">
        <v>45</v>
      </c>
      <c r="AG5" t="s">
        <v>46</v>
      </c>
      <c r="AH5" t="s">
        <v>47</v>
      </c>
      <c r="AI5" t="s">
        <v>48</v>
      </c>
      <c r="AJ5" t="s">
        <v>49</v>
      </c>
      <c r="AK5" t="s">
        <v>50</v>
      </c>
      <c r="AL5" t="s">
        <v>51</v>
      </c>
      <c r="AM5" t="s">
        <v>52</v>
      </c>
      <c r="AN5" t="s">
        <v>53</v>
      </c>
      <c r="AO5" t="s">
        <v>54</v>
      </c>
      <c r="AP5" t="s">
        <v>55</v>
      </c>
      <c r="AQ5" t="s">
        <v>56</v>
      </c>
      <c r="AR5" t="s">
        <v>57</v>
      </c>
      <c r="AS5" t="s">
        <v>58</v>
      </c>
      <c r="AT5" t="s">
        <v>59</v>
      </c>
      <c r="AU5" t="s">
        <v>60</v>
      </c>
      <c r="AV5" t="s">
        <v>61</v>
      </c>
      <c r="AW5" t="s">
        <v>62</v>
      </c>
      <c r="AX5" t="s">
        <v>63</v>
      </c>
      <c r="AY5" t="s">
        <v>64</v>
      </c>
      <c r="AZ5" t="s">
        <v>65</v>
      </c>
      <c r="BA5" t="s">
        <v>66</v>
      </c>
      <c r="BB5" t="s">
        <v>67</v>
      </c>
      <c r="BC5" t="s">
        <v>68</v>
      </c>
      <c r="BD5" t="s">
        <v>69</v>
      </c>
      <c r="BE5" t="s">
        <v>70</v>
      </c>
    </row>
    <row r="6" spans="1:57" x14ac:dyDescent="0.25">
      <c r="A6">
        <v>2011</v>
      </c>
      <c r="B6" cm="1">
        <f t="array" aca="1" ref="B6" ca="1">_xlfn.XLOOKUP(B$5, INDIRECT("'" &amp; $A6 &amp; "'!$A:$A"), INDIRECT("'" &amp; $A6 &amp; "'!$C:$C"), 0)</f>
        <v>288</v>
      </c>
      <c r="C6" cm="1">
        <f t="array" aca="1" ref="C6" ca="1">_xlfn.XLOOKUP(C$5, INDIRECT("'" &amp; $A6 &amp; "'!$A:$A"), INDIRECT("'" &amp; $A6 &amp; "'!$C:$C"), 0)</f>
        <v>659</v>
      </c>
      <c r="D6" cm="1">
        <f t="array" aca="1" ref="D6" ca="1">_xlfn.XLOOKUP(D$5, INDIRECT("'" &amp; $A6 &amp; "'!$A:$A"), INDIRECT("'" &amp; $A6 &amp; "'!$C:$C"), 0)</f>
        <v>411</v>
      </c>
      <c r="E6" t="str" cm="1">
        <f t="array" aca="1" ref="E6" ca="1">_xlfn.XLOOKUP(E$5, INDIRECT("'" &amp; $A6 &amp; "'!$A:$A"), INDIRECT("'" &amp; $A6 &amp; "'!$C:$C"), 0)</f>
        <v>.</v>
      </c>
      <c r="F6" cm="1">
        <f t="array" aca="1" ref="F6" ca="1">_xlfn.XLOOKUP(F$5, INDIRECT("'" &amp; $A6 &amp; "'!$A:$A"), INDIRECT("'" &amp; $A6 &amp; "'!$C:$C"), 0)</f>
        <v>1528</v>
      </c>
      <c r="G6" cm="1">
        <f t="array" aca="1" ref="G6" ca="1">_xlfn.XLOOKUP(G$5, INDIRECT("'" &amp; $A6 &amp; "'!$A:$A"), INDIRECT("'" &amp; $A6 &amp; "'!$C:$C"), 0)</f>
        <v>16783</v>
      </c>
      <c r="H6" cm="1">
        <f t="array" aca="1" ref="H6" ca="1">_xlfn.XLOOKUP(H$5, INDIRECT("'" &amp; $A6 &amp; "'!$A:$A"), INDIRECT("'" &amp; $A6 &amp; "'!$C:$C"), 0)</f>
        <v>2074</v>
      </c>
      <c r="I6" cm="1">
        <f t="array" aca="1" ref="I6" ca="1">_xlfn.XLOOKUP(I$5, INDIRECT("'" &amp; $A6 &amp; "'!$A:$A"), INDIRECT("'" &amp; $A6 &amp; "'!$C:$C"), 0)</f>
        <v>443</v>
      </c>
      <c r="J6" cm="1">
        <f t="array" aca="1" ref="J6" ca="1">_xlfn.XLOOKUP(J$5, INDIRECT("'" &amp; $A6 &amp; "'!$A:$A"), INDIRECT("'" &amp; $A6 &amp; "'!$C:$C"), 0)</f>
        <v>515</v>
      </c>
      <c r="K6" cm="1">
        <f t="array" aca="1" ref="K6" ca="1">_xlfn.XLOOKUP(K$5, INDIRECT("'" &amp; $A6 &amp; "'!$A:$A"), INDIRECT("'" &amp; $A6 &amp; "'!$C:$C"), 0)</f>
        <v>55</v>
      </c>
      <c r="L6" cm="1">
        <f t="array" aca="1" ref="L6" ca="1">_xlfn.XLOOKUP(L$5, INDIRECT("'" &amp; $A6 &amp; "'!$A:$A"), INDIRECT("'" &amp; $A6 &amp; "'!$C:$C"), 0)</f>
        <v>5644</v>
      </c>
      <c r="M6" cm="1">
        <f t="array" aca="1" ref="M6" ca="1">_xlfn.XLOOKUP(M$5, INDIRECT("'" &amp; $A6 &amp; "'!$A:$A"), INDIRECT("'" &amp; $A6 &amp; "'!$C:$C"), 0)</f>
        <v>2243</v>
      </c>
      <c r="N6" cm="1">
        <f t="array" aca="1" ref="N6" ca="1">_xlfn.XLOOKUP(N$5, INDIRECT("'" &amp; $A6 &amp; "'!$A:$A"), INDIRECT("'" &amp; $A6 &amp; "'!$C:$C"), 0)</f>
        <v>33</v>
      </c>
      <c r="O6" cm="1">
        <f t="array" aca="1" ref="O6" ca="1">_xlfn.XLOOKUP(O$5, INDIRECT("'" &amp; $A6 &amp; "'!$A:$A"), INDIRECT("'" &amp; $A6 &amp; "'!$C:$C"), 0)</f>
        <v>505</v>
      </c>
      <c r="P6" cm="1">
        <f t="array" aca="1" ref="P6" ca="1">_xlfn.XLOOKUP(P$5, INDIRECT("'" &amp; $A6 &amp; "'!$A:$A"), INDIRECT("'" &amp; $A6 &amp; "'!$C:$C"), 0)</f>
        <v>267</v>
      </c>
      <c r="Q6" cm="1">
        <f t="array" aca="1" ref="Q6" ca="1">_xlfn.XLOOKUP(Q$5, INDIRECT("'" &amp; $A6 &amp; "'!$A:$A"), INDIRECT("'" &amp; $A6 &amp; "'!$C:$C"), 0)</f>
        <v>250</v>
      </c>
      <c r="R6" cm="1">
        <f t="array" aca="1" ref="R6" ca="1">_xlfn.XLOOKUP(R$5, INDIRECT("'" &amp; $A6 &amp; "'!$A:$A"), INDIRECT("'" &amp; $A6 &amp; "'!$C:$C"), 0)</f>
        <v>1081</v>
      </c>
      <c r="S6" cm="1">
        <f t="array" aca="1" ref="S6" ca="1">_xlfn.XLOOKUP(S$5, INDIRECT("'" &amp; $A6 &amp; "'!$A:$A"), INDIRECT("'" &amp; $A6 &amp; "'!$C:$C"), 0)</f>
        <v>714</v>
      </c>
      <c r="T6" cm="1">
        <f t="array" aca="1" ref="T6" ca="1">_xlfn.XLOOKUP(T$5,INDIRECT("'"&amp;$A6&amp;"'!$A:$A"),INDIRECT("'"&amp;$A6&amp;"'!$C:$C"),_xlfn.XLOOKUP("KS*",INDIRECT("'"&amp;$A6&amp;"'!$A:$A"),INDIRECT("'"&amp;$A6&amp;"'!$C:$C")))</f>
        <v>384</v>
      </c>
      <c r="U6" cm="1">
        <f t="array" aca="1" ref="U6" ca="1">_xlfn.XLOOKUP(U$5, INDIRECT("'" &amp; $A6 &amp; "'!$A:$A"), INDIRECT("'" &amp; $A6 &amp; "'!$C:$C"), 0)</f>
        <v>636</v>
      </c>
      <c r="V6" cm="1">
        <f t="array" aca="1" ref="V6" ca="1">_xlfn.XLOOKUP(V$5, INDIRECT("'" &amp; $A6 &amp; "'!$A:$A"), INDIRECT("'" &amp; $A6 &amp; "'!$C:$C"), 0)</f>
        <v>950</v>
      </c>
      <c r="W6" cm="1">
        <f t="array" aca="1" ref="W6" ca="1">_xlfn.XLOOKUP(W$5, INDIRECT("'" &amp; $A6 &amp; "'!$A:$A"), INDIRECT("'" &amp; $A6 &amp; "'!$C:$C"), 0)</f>
        <v>1268</v>
      </c>
      <c r="X6" cm="1">
        <f t="array" aca="1" ref="X6" ca="1">_xlfn.XLOOKUP(X$5, INDIRECT("'" &amp; $A6 &amp; "'!$A:$A"), INDIRECT("'" &amp; $A6 &amp; "'!$C:$C"), 0)</f>
        <v>696</v>
      </c>
      <c r="Y6" cm="1">
        <f t="array" aca="1" ref="Y6" ca="1">_xlfn.XLOOKUP(Y$5, INDIRECT("'" &amp; $A6 &amp; "'!$A:$A"), INDIRECT("'" &amp; $A6 &amp; "'!$C:$C"), 0)</f>
        <v>127</v>
      </c>
      <c r="Z6" cm="1">
        <f t="array" aca="1" ref="Z6" ca="1">_xlfn.XLOOKUP(Z$5, INDIRECT("'" &amp; $A6 &amp; "'!$A:$A"), INDIRECT("'" &amp; $A6 &amp; "'!$C:$C"), 0)</f>
        <v>959</v>
      </c>
      <c r="AA6" cm="1">
        <f t="array" aca="1" ref="AA6" ca="1">_xlfn.XLOOKUP(AA$5, INDIRECT("'" &amp; $A6 &amp; "'!$A:$A"), INDIRECT("'" &amp; $A6 &amp; "'!$C:$C"), 0)</f>
        <v>449</v>
      </c>
      <c r="AB6" cm="1">
        <f t="array" aca="1" ref="AB6" ca="1">_xlfn.XLOOKUP(AB$5, INDIRECT("'" &amp; $A6 &amp; "'!$A:$A"), INDIRECT("'" &amp; $A6 &amp; "'!$C:$C"), 0)</f>
        <v>852</v>
      </c>
      <c r="AC6" t="str" cm="1">
        <f t="array" aca="1" ref="AC6" ca="1">_xlfn.XLOOKUP(AC$5, INDIRECT("'" &amp; $A6 &amp; "'!$A:$A"), INDIRECT("'" &amp; $A6 &amp; "'!$C:$C"), 0)</f>
        <v>.</v>
      </c>
      <c r="AD6" cm="1">
        <f t="array" aca="1" ref="AD6" ca="1">_xlfn.XLOOKUP(AD$5, INDIRECT("'" &amp; $A6 &amp; "'!$A:$A"), INDIRECT("'" &amp; $A6 &amp; "'!$C:$C"), 0)</f>
        <v>205</v>
      </c>
      <c r="AE6" cm="1">
        <f t="array" aca="1" ref="AE6" ca="1">_xlfn.XLOOKUP(AE$5, INDIRECT("'" &amp; $A6 &amp; "'!$A:$A"), INDIRECT("'" &amp; $A6 &amp; "'!$C:$C"), 0)</f>
        <v>251</v>
      </c>
      <c r="AF6" cm="1">
        <f t="array" aca="1" ref="AF6" ca="1">_xlfn.XLOOKUP(AF$5, INDIRECT("'" &amp; $A6 &amp; "'!$A:$A"), INDIRECT("'" &amp; $A6 &amp; "'!$C:$C"), 0)</f>
        <v>1248</v>
      </c>
      <c r="AG6" cm="1">
        <f t="array" aca="1" ref="AG6" ca="1">_xlfn.XLOOKUP(AG$5, INDIRECT("'" &amp; $A6 &amp; "'!$A:$A"), INDIRECT("'" &amp; $A6 &amp; "'!$C:$C"), 0)</f>
        <v>124</v>
      </c>
      <c r="AH6" cm="1">
        <f t="array" aca="1" ref="AH6" ca="1">_xlfn.XLOOKUP(AH$5, INDIRECT("'" &amp; $A6 &amp; "'!$A:$A"), INDIRECT("'" &amp; $A6 &amp; "'!$C:$C"), 0)</f>
        <v>310</v>
      </c>
      <c r="AI6" cm="1">
        <f t="array" aca="1" ref="AI6" ca="1">_xlfn.XLOOKUP(AI$5, INDIRECT("'" &amp; $A6 &amp; "'!$A:$A"), INDIRECT("'" &amp; $A6 &amp; "'!$C:$C"), 0)</f>
        <v>126</v>
      </c>
      <c r="AJ6" cm="1">
        <f t="array" aca="1" ref="AJ6" ca="1">_xlfn.XLOOKUP(AJ$5, INDIRECT("'" &amp; $A6 &amp; "'!$A:$A"), INDIRECT("'" &amp; $A6 &amp; "'!$C:$C"), 0)</f>
        <v>811</v>
      </c>
      <c r="AK6" cm="1">
        <f t="array" aca="1" ref="AK6" ca="1">_xlfn.XLOOKUP(AK$5, INDIRECT("'" &amp; $A6 &amp; "'!$A:$A"), INDIRECT("'" &amp; $A6 &amp; "'!$C:$C"), 0)</f>
        <v>364</v>
      </c>
      <c r="AL6" cm="1">
        <f t="array" aca="1" ref="AL6" ca="1">_xlfn.XLOOKUP(AL$5, INDIRECT("'" &amp; $A6 &amp; "'!$A:$A"), INDIRECT("'" &amp; $A6 &amp; "'!$C:$C"), 0)</f>
        <v>1240</v>
      </c>
      <c r="AM6" cm="1">
        <f t="array" aca="1" ref="AM6" ca="1">_xlfn.XLOOKUP(AM$5, INDIRECT("'" &amp; $A6 &amp; "'!$A:$A"), INDIRECT("'" &amp; $A6 &amp; "'!$C:$C"), 0)</f>
        <v>5765</v>
      </c>
      <c r="AN6" cm="1">
        <f t="array" aca="1" ref="AN6" ca="1">_xlfn.XLOOKUP(AN$5, INDIRECT("'" &amp; $A6 &amp; "'!$A:$A"), INDIRECT("'" &amp; $A6 &amp; "'!$C:$C"), 0)</f>
        <v>1279</v>
      </c>
      <c r="AO6" cm="1">
        <f t="array" aca="1" ref="AO6" ca="1">_xlfn.XLOOKUP(AO$5, INDIRECT("'" &amp; $A6 &amp; "'!$A:$A"), INDIRECT("'" &amp; $A6 &amp; "'!$C:$C"), 0)</f>
        <v>356</v>
      </c>
      <c r="AP6" cm="1">
        <f t="array" aca="1" ref="AP6" ca="1">_xlfn.XLOOKUP(AP$5, INDIRECT("'" &amp; $A6 &amp; "'!$A:$A"), INDIRECT("'" &amp; $A6 &amp; "'!$C:$C"), 0)</f>
        <v>1474</v>
      </c>
      <c r="AQ6" cm="1">
        <f t="array" aca="1" ref="AQ6" ca="1">_xlfn.XLOOKUP(AQ$5, INDIRECT("'" &amp; $A6 &amp; "'!$A:$A"), INDIRECT("'" &amp; $A6 &amp; "'!$C:$C"), 0)</f>
        <v>1392</v>
      </c>
      <c r="AR6" cm="1">
        <f t="array" aca="1" ref="AR6" ca="1">_xlfn.XLOOKUP(AR$5, INDIRECT("'" &amp; $A6 &amp; "'!$A:$A"), INDIRECT("'" &amp; $A6 &amp; "'!$C:$C"), 0)</f>
        <v>137</v>
      </c>
      <c r="AS6" cm="1">
        <f t="array" aca="1" ref="AS6" ca="1">_xlfn.XLOOKUP(AS$5, INDIRECT("'" &amp; $A6 &amp; "'!$A:$A"), INDIRECT("'" &amp; $A6 &amp; "'!$C:$C"), 0)</f>
        <v>123</v>
      </c>
      <c r="AT6" cm="1">
        <f t="array" aca="1" ref="AT6" ca="1">_xlfn.XLOOKUP(AT$5, INDIRECT("'" &amp; $A6 &amp; "'!$A:$A"), INDIRECT("'" &amp; $A6 &amp; "'!$C:$C"), 0)</f>
        <v>612</v>
      </c>
      <c r="AU6" cm="1">
        <f t="array" aca="1" ref="AU6" ca="1">_xlfn.XLOOKUP(AU$5, INDIRECT("'" &amp; $A6 &amp; "'!$A:$A"), INDIRECT("'" &amp; $A6 &amp; "'!$C:$C"), 0)</f>
        <v>109</v>
      </c>
      <c r="AV6" cm="1">
        <f t="array" aca="1" ref="AV6" ca="1">_xlfn.XLOOKUP(AV$5, INDIRECT("'" &amp; $A6 &amp; "'!$A:$A"), INDIRECT("'" &amp; $A6 &amp; "'!$C:$C"), 0)</f>
        <v>965</v>
      </c>
      <c r="AW6" cm="1">
        <f t="array" aca="1" ref="AW6" ca="1">_xlfn.XLOOKUP(AW$5, INDIRECT("'" &amp; $A6 &amp; "'!$A:$A"), INDIRECT("'" &amp; $A6 &amp; "'!$C:$C"), 0)</f>
        <v>4891</v>
      </c>
      <c r="AX6" cm="1">
        <f t="array" aca="1" ref="AX6" ca="1">_xlfn.XLOOKUP(AX$5, INDIRECT("'" &amp; $A6 &amp; "'!$A:$A"), INDIRECT("'" &amp; $A6 &amp; "'!$C:$C"), 0)</f>
        <v>345</v>
      </c>
      <c r="AY6" cm="1">
        <f t="array" aca="1" ref="AY6" ca="1">_xlfn.XLOOKUP(AY$5, INDIRECT("'" &amp; $A6 &amp; "'!$A:$A"), INDIRECT("'" &amp; $A6 &amp; "'!$C:$C"), 0)</f>
        <v>931</v>
      </c>
      <c r="AZ6" cm="1">
        <f t="array" aca="1" ref="AZ6" ca="1">_xlfn.XLOOKUP(AZ$5, INDIRECT("'" &amp; $A6 &amp; "'!$A:$A"), INDIRECT("'" &amp; $A6 &amp; "'!$C:$C"), 0)</f>
        <v>32</v>
      </c>
      <c r="BA6" cm="1">
        <f t="array" aca="1" ref="BA6" ca="1">_xlfn.XLOOKUP(BA$5, INDIRECT("'" &amp; $A6 &amp; "'!$A:$A"), INDIRECT("'" &amp; $A6 &amp; "'!$C:$C"), 0)</f>
        <v>81</v>
      </c>
      <c r="BB6" cm="1">
        <f t="array" aca="1" ref="BB6" ca="1">_xlfn.XLOOKUP(BB$5, INDIRECT("'" &amp; $A6 &amp; "'!$A:$A"), INDIRECT("'" &amp; $A6 &amp; "'!$C:$C"), 0)</f>
        <v>1478</v>
      </c>
      <c r="BC6" cm="1">
        <f t="array" aca="1" ref="BC6" ca="1">_xlfn.XLOOKUP(BC$5, INDIRECT("'" &amp; $A6 &amp; "'!$A:$A"), INDIRECT("'" &amp; $A6 &amp; "'!$C:$C"), 0)</f>
        <v>607</v>
      </c>
      <c r="BD6" cm="1">
        <f t="array" aca="1" ref="BD6" ca="1">_xlfn.XLOOKUP(BD$5, INDIRECT("'" &amp; $A6 &amp; "'!$A:$A"), INDIRECT("'" &amp; $A6 &amp; "'!$C:$C"), 0)</f>
        <v>302</v>
      </c>
      <c r="BE6" cm="1">
        <f t="array" aca="1" ref="BE6" ca="1">_xlfn.XLOOKUP(BE$5, INDIRECT("'" &amp; $A6 &amp; "'!$A:$A"), INDIRECT("'" &amp; $A6 &amp; "'!$C:$C"), 0)</f>
        <v>83</v>
      </c>
    </row>
    <row r="7" spans="1:57" x14ac:dyDescent="0.25">
      <c r="A7">
        <v>2012</v>
      </c>
      <c r="B7" cm="1">
        <f t="array" aca="1" ref="B7" ca="1">_xlfn.XLOOKUP(B$5, INDIRECT("'" &amp; $A7 &amp; "'!$A:$A"), INDIRECT("'" &amp; $A7 &amp; "'!$C:$C"), 0)</f>
        <v>256</v>
      </c>
      <c r="C7" cm="1">
        <f t="array" aca="1" ref="C7" ca="1">_xlfn.XLOOKUP(C$5, INDIRECT("'" &amp; $A7 &amp; "'!$A:$A"), INDIRECT("'" &amp; $A7 &amp; "'!$C:$C"), 0)</f>
        <v>526</v>
      </c>
      <c r="D7" cm="1">
        <f t="array" aca="1" ref="D7" ca="1">_xlfn.XLOOKUP(D$5, INDIRECT("'" &amp; $A7 &amp; "'!$A:$A"), INDIRECT("'" &amp; $A7 &amp; "'!$C:$C"), 0)</f>
        <v>362</v>
      </c>
      <c r="E7" t="str" cm="1">
        <f t="array" aca="1" ref="E7" ca="1">_xlfn.XLOOKUP(E$5, INDIRECT("'" &amp; $A7 &amp; "'!$A:$A"), INDIRECT("'" &amp; $A7 &amp; "'!$C:$C"), 0)</f>
        <v>.</v>
      </c>
      <c r="F7" cm="1">
        <f t="array" aca="1" ref="F7" ca="1">_xlfn.XLOOKUP(F$5, INDIRECT("'" &amp; $A7 &amp; "'!$A:$A"), INDIRECT("'" &amp; $A7 &amp; "'!$C:$C"), 0)</f>
        <v>1478</v>
      </c>
      <c r="G7" cm="1">
        <f t="array" aca="1" ref="G7" ca="1">_xlfn.XLOOKUP(G$5, INDIRECT("'" &amp; $A7 &amp; "'!$A:$A"), INDIRECT("'" &amp; $A7 &amp; "'!$C:$C"), 0)</f>
        <v>14611</v>
      </c>
      <c r="H7" cm="1">
        <f t="array" aca="1" ref="H7" ca="1">_xlfn.XLOOKUP(H$5, INDIRECT("'" &amp; $A7 &amp; "'!$A:$A"), INDIRECT("'" &amp; $A7 &amp; "'!$C:$C"), 0)</f>
        <v>1512</v>
      </c>
      <c r="I7" cm="1">
        <f t="array" aca="1" ref="I7" ca="1">_xlfn.XLOOKUP(I$5, INDIRECT("'" &amp; $A7 &amp; "'!$A:$A"), INDIRECT("'" &amp; $A7 &amp; "'!$C:$C"), 0)</f>
        <v>332</v>
      </c>
      <c r="J7" cm="1">
        <f t="array" aca="1" ref="J7" ca="1">_xlfn.XLOOKUP(J$5, INDIRECT("'" &amp; $A7 &amp; "'!$A:$A"), INDIRECT("'" &amp; $A7 &amp; "'!$C:$C"), 0)</f>
        <v>531</v>
      </c>
      <c r="K7" cm="1">
        <f t="array" aca="1" ref="K7" ca="1">_xlfn.XLOOKUP(K$5, INDIRECT("'" &amp; $A7 &amp; "'!$A:$A"), INDIRECT("'" &amp; $A7 &amp; "'!$C:$C"), 0)</f>
        <v>66</v>
      </c>
      <c r="L7" cm="1">
        <f t="array" aca="1" ref="L7" ca="1">_xlfn.XLOOKUP(L$5, INDIRECT("'" &amp; $A7 &amp; "'!$A:$A"), INDIRECT("'" &amp; $A7 &amp; "'!$C:$C"), 0)</f>
        <v>5331</v>
      </c>
      <c r="M7" cm="1">
        <f t="array" aca="1" ref="M7" ca="1">_xlfn.XLOOKUP(M$5, INDIRECT("'" &amp; $A7 &amp; "'!$A:$A"), INDIRECT("'" &amp; $A7 &amp; "'!$C:$C"), 0)</f>
        <v>2297</v>
      </c>
      <c r="N7" cm="1">
        <f t="array" aca="1" ref="N7" ca="1">_xlfn.XLOOKUP(N$5, INDIRECT("'" &amp; $A7 &amp; "'!$A:$A"), INDIRECT("'" &amp; $A7 &amp; "'!$C:$C"), 0)</f>
        <v>31</v>
      </c>
      <c r="O7" cm="1">
        <f t="array" aca="1" ref="O7" ca="1">_xlfn.XLOOKUP(O$5, INDIRECT("'" &amp; $A7 &amp; "'!$A:$A"), INDIRECT("'" &amp; $A7 &amp; "'!$C:$C"), 0)</f>
        <v>507</v>
      </c>
      <c r="P7" cm="1">
        <f t="array" aca="1" ref="P7" ca="1">_xlfn.XLOOKUP(P$5, INDIRECT("'" &amp; $A7 &amp; "'!$A:$A"), INDIRECT("'" &amp; $A7 &amp; "'!$C:$C"), 0)</f>
        <v>217</v>
      </c>
      <c r="Q7" cm="1">
        <f t="array" aca="1" ref="Q7" ca="1">_xlfn.XLOOKUP(Q$5, INDIRECT("'" &amp; $A7 &amp; "'!$A:$A"), INDIRECT("'" &amp; $A7 &amp; "'!$C:$C"), 0)</f>
        <v>260</v>
      </c>
      <c r="R7" cm="1">
        <f t="array" aca="1" ref="R7" ca="1">_xlfn.XLOOKUP(R$5, INDIRECT("'" &amp; $A7 &amp; "'!$A:$A"), INDIRECT("'" &amp; $A7 &amp; "'!$C:$C"), 0)</f>
        <v>1147</v>
      </c>
      <c r="S7" cm="1">
        <f t="array" aca="1" ref="S7" ca="1">_xlfn.XLOOKUP(S$5, INDIRECT("'" &amp; $A7 &amp; "'!$A:$A"), INDIRECT("'" &amp; $A7 &amp; "'!$C:$C"), 0)</f>
        <v>687</v>
      </c>
      <c r="T7" cm="1">
        <f t="array" aca="1" ref="T7" ca="1">_xlfn.XLOOKUP(T$5,INDIRECT("'"&amp;$A7&amp;"'!$A:$A"),INDIRECT("'"&amp;$A7&amp;"'!$C:$C"),_xlfn.XLOOKUP("KS*",INDIRECT("'"&amp;$A7&amp;"'!$A:$A"),INDIRECT("'"&amp;$A7&amp;"'!$C:$C")))</f>
        <v>373</v>
      </c>
      <c r="U7" cm="1">
        <f t="array" aca="1" ref="U7" ca="1">_xlfn.XLOOKUP(U$5, INDIRECT("'" &amp; $A7 &amp; "'!$A:$A"), INDIRECT("'" &amp; $A7 &amp; "'!$C:$C"), 0)</f>
        <v>440</v>
      </c>
      <c r="V7" cm="1">
        <f t="array" aca="1" ref="V7" ca="1">_xlfn.XLOOKUP(V$5, INDIRECT("'" &amp; $A7 &amp; "'!$A:$A"), INDIRECT("'" &amp; $A7 &amp; "'!$C:$C"), 0)</f>
        <v>899</v>
      </c>
      <c r="W7" cm="1">
        <f t="array" aca="1" ref="W7" ca="1">_xlfn.XLOOKUP(W$5, INDIRECT("'" &amp; $A7 &amp; "'!$A:$A"), INDIRECT("'" &amp; $A7 &amp; "'!$C:$C"), 0)</f>
        <v>1181</v>
      </c>
      <c r="X7" cm="1">
        <f t="array" aca="1" ref="X7" ca="1">_xlfn.XLOOKUP(X$5, INDIRECT("'" &amp; $A7 &amp; "'!$A:$A"), INDIRECT("'" &amp; $A7 &amp; "'!$C:$C"), 0)</f>
        <v>617</v>
      </c>
      <c r="Y7" cm="1">
        <f t="array" aca="1" ref="Y7" ca="1">_xlfn.XLOOKUP(Y$5, INDIRECT("'" &amp; $A7 &amp; "'!$A:$A"), INDIRECT("'" &amp; $A7 &amp; "'!$C:$C"), 0)</f>
        <v>116</v>
      </c>
      <c r="Z7" cm="1">
        <f t="array" aca="1" ref="Z7" ca="1">_xlfn.XLOOKUP(Z$5, INDIRECT("'" &amp; $A7 &amp; "'!$A:$A"), INDIRECT("'" &amp; $A7 &amp; "'!$C:$C"), 0)</f>
        <v>1017</v>
      </c>
      <c r="AA7" cm="1">
        <f t="array" aca="1" ref="AA7" ca="1">_xlfn.XLOOKUP(AA$5, INDIRECT("'" &amp; $A7 &amp; "'!$A:$A"), INDIRECT("'" &amp; $A7 &amp; "'!$C:$C"), 0)</f>
        <v>309</v>
      </c>
      <c r="AB7" cm="1">
        <f t="array" aca="1" ref="AB7" ca="1">_xlfn.XLOOKUP(AB$5, INDIRECT("'" &amp; $A7 &amp; "'!$A:$A"), INDIRECT("'" &amp; $A7 &amp; "'!$C:$C"), 0)</f>
        <v>899</v>
      </c>
      <c r="AC7" t="str" cm="1">
        <f t="array" aca="1" ref="AC7" ca="1">_xlfn.XLOOKUP(AC$5, INDIRECT("'" &amp; $A7 &amp; "'!$A:$A"), INDIRECT("'" &amp; $A7 &amp; "'!$C:$C"), 0)</f>
        <v>.</v>
      </c>
      <c r="AD7" cm="1">
        <f t="array" aca="1" ref="AD7" ca="1">_xlfn.XLOOKUP(AD$5, INDIRECT("'" &amp; $A7 &amp; "'!$A:$A"), INDIRECT("'" &amp; $A7 &amp; "'!$C:$C"), 0)</f>
        <v>244</v>
      </c>
      <c r="AE7" cm="1">
        <f t="array" aca="1" ref="AE7" ca="1">_xlfn.XLOOKUP(AE$5, INDIRECT("'" &amp; $A7 &amp; "'!$A:$A"), INDIRECT("'" &amp; $A7 &amp; "'!$C:$C"), 0)</f>
        <v>323</v>
      </c>
      <c r="AF7" cm="1">
        <f t="array" aca="1" ref="AF7" ca="1">_xlfn.XLOOKUP(AF$5, INDIRECT("'" &amp; $A7 &amp; "'!$A:$A"), INDIRECT("'" &amp; $A7 &amp; "'!$C:$C"), 0)</f>
        <v>1413</v>
      </c>
      <c r="AG7" cm="1">
        <f t="array" aca="1" ref="AG7" ca="1">_xlfn.XLOOKUP(AG$5, INDIRECT("'" &amp; $A7 &amp; "'!$A:$A"), INDIRECT("'" &amp; $A7 &amp; "'!$C:$C"), 0)</f>
        <v>160</v>
      </c>
      <c r="AH7" cm="1">
        <f t="array" aca="1" ref="AH7" ca="1">_xlfn.XLOOKUP(AH$5, INDIRECT("'" &amp; $A7 &amp; "'!$A:$A"), INDIRECT("'" &amp; $A7 &amp; "'!$C:$C"), 0)</f>
        <v>249</v>
      </c>
      <c r="AI7" cm="1">
        <f t="array" aca="1" ref="AI7" ca="1">_xlfn.XLOOKUP(AI$5, INDIRECT("'" &amp; $A7 &amp; "'!$A:$A"), INDIRECT("'" &amp; $A7 &amp; "'!$C:$C"), 0)</f>
        <v>127</v>
      </c>
      <c r="AJ7" cm="1">
        <f t="array" aca="1" ref="AJ7" ca="1">_xlfn.XLOOKUP(AJ$5, INDIRECT("'" &amp; $A7 &amp; "'!$A:$A"), INDIRECT("'" &amp; $A7 &amp; "'!$C:$C"), 0)</f>
        <v>592</v>
      </c>
      <c r="AK7" cm="1">
        <f t="array" aca="1" ref="AK7" ca="1">_xlfn.XLOOKUP(AK$5, INDIRECT("'" &amp; $A7 &amp; "'!$A:$A"), INDIRECT("'" &amp; $A7 &amp; "'!$C:$C"), 0)</f>
        <v>345</v>
      </c>
      <c r="AL7" cm="1">
        <f t="array" aca="1" ref="AL7" ca="1">_xlfn.XLOOKUP(AL$5, INDIRECT("'" &amp; $A7 &amp; "'!$A:$A"), INDIRECT("'" &amp; $A7 &amp; "'!$C:$C"), 0)</f>
        <v>1229</v>
      </c>
      <c r="AM7" cm="1">
        <f t="array" aca="1" ref="AM7" ca="1">_xlfn.XLOOKUP(AM$5, INDIRECT("'" &amp; $A7 &amp; "'!$A:$A"), INDIRECT("'" &amp; $A7 &amp; "'!$C:$C"), 0)</f>
        <v>4961</v>
      </c>
      <c r="AN7" cm="1">
        <f t="array" aca="1" ref="AN7" ca="1">_xlfn.XLOOKUP(AN$5, INDIRECT("'" &amp; $A7 &amp; "'!$A:$A"), INDIRECT("'" &amp; $A7 &amp; "'!$C:$C"), 0)</f>
        <v>1244</v>
      </c>
      <c r="AO7" cm="1">
        <f t="array" aca="1" ref="AO7" ca="1">_xlfn.XLOOKUP(AO$5, INDIRECT("'" &amp; $A7 &amp; "'!$A:$A"), INDIRECT("'" &amp; $A7 &amp; "'!$C:$C"), 0)</f>
        <v>404</v>
      </c>
      <c r="AP7" cm="1">
        <f t="array" aca="1" ref="AP7" ca="1">_xlfn.XLOOKUP(AP$5, INDIRECT("'" &amp; $A7 &amp; "'!$A:$A"), INDIRECT("'" &amp; $A7 &amp; "'!$C:$C"), 0)</f>
        <v>1356</v>
      </c>
      <c r="AQ7" cm="1">
        <f t="array" aca="1" ref="AQ7" ca="1">_xlfn.XLOOKUP(AQ$5, INDIRECT("'" &amp; $A7 &amp; "'!$A:$A"), INDIRECT("'" &amp; $A7 &amp; "'!$C:$C"), 0)</f>
        <v>1456</v>
      </c>
      <c r="AR7" cm="1">
        <f t="array" aca="1" ref="AR7" ca="1">_xlfn.XLOOKUP(AR$5, INDIRECT("'" &amp; $A7 &amp; "'!$A:$A"), INDIRECT("'" &amp; $A7 &amp; "'!$C:$C"), 0)</f>
        <v>116</v>
      </c>
      <c r="AS7" cm="1">
        <f t="array" aca="1" ref="AS7" ca="1">_xlfn.XLOOKUP(AS$5, INDIRECT("'" &amp; $A7 &amp; "'!$A:$A"), INDIRECT("'" &amp; $A7 &amp; "'!$C:$C"), 0)</f>
        <v>96</v>
      </c>
      <c r="AT7" cm="1">
        <f t="array" aca="1" ref="AT7" ca="1">_xlfn.XLOOKUP(AT$5, INDIRECT("'" &amp; $A7 &amp; "'!$A:$A"), INDIRECT("'" &amp; $A7 &amp; "'!$C:$C"), 0)</f>
        <v>543</v>
      </c>
      <c r="AU7" cm="1">
        <f t="array" aca="1" ref="AU7" ca="1">_xlfn.XLOOKUP(AU$5, INDIRECT("'" &amp; $A7 &amp; "'!$A:$A"), INDIRECT("'" &amp; $A7 &amp; "'!$C:$C"), 0)</f>
        <v>124</v>
      </c>
      <c r="AV7" cm="1">
        <f t="array" aca="1" ref="AV7" ca="1">_xlfn.XLOOKUP(AV$5, INDIRECT("'" &amp; $A7 &amp; "'!$A:$A"), INDIRECT("'" &amp; $A7 &amp; "'!$C:$C"), 0)</f>
        <v>1285</v>
      </c>
      <c r="AW7" cm="1">
        <f t="array" aca="1" ref="AW7" ca="1">_xlfn.XLOOKUP(AW$5, INDIRECT("'" &amp; $A7 &amp; "'!$A:$A"), INDIRECT("'" &amp; $A7 &amp; "'!$C:$C"), 0)</f>
        <v>4364</v>
      </c>
      <c r="AX7" cm="1">
        <f t="array" aca="1" ref="AX7" ca="1">_xlfn.XLOOKUP(AX$5, INDIRECT("'" &amp; $A7 &amp; "'!$A:$A"), INDIRECT("'" &amp; $A7 &amp; "'!$C:$C"), 0)</f>
        <v>330</v>
      </c>
      <c r="AY7" cm="1">
        <f t="array" aca="1" ref="AY7" ca="1">_xlfn.XLOOKUP(AY$5, INDIRECT("'" &amp; $A7 &amp; "'!$A:$A"), INDIRECT("'" &amp; $A7 &amp; "'!$C:$C"), 0)</f>
        <v>881</v>
      </c>
      <c r="AZ7" cm="1">
        <f t="array" aca="1" ref="AZ7" ca="1">_xlfn.XLOOKUP(AZ$5, INDIRECT("'" &amp; $A7 &amp; "'!$A:$A"), INDIRECT("'" &amp; $A7 &amp; "'!$C:$C"), 0)</f>
        <v>33</v>
      </c>
      <c r="BA7" cm="1">
        <f t="array" aca="1" ref="BA7" ca="1">_xlfn.XLOOKUP(BA$5, INDIRECT("'" &amp; $A7 &amp; "'!$A:$A"), INDIRECT("'" &amp; $A7 &amp; "'!$C:$C"), 0)</f>
        <v>109</v>
      </c>
      <c r="BB7" cm="1">
        <f t="array" aca="1" ref="BB7" ca="1">_xlfn.XLOOKUP(BB$5, INDIRECT("'" &amp; $A7 &amp; "'!$A:$A"), INDIRECT("'" &amp; $A7 &amp; "'!$C:$C"), 0)</f>
        <v>1475</v>
      </c>
      <c r="BC7" cm="1">
        <f t="array" aca="1" ref="BC7" ca="1">_xlfn.XLOOKUP(BC$5, INDIRECT("'" &amp; $A7 &amp; "'!$A:$A"), INDIRECT("'" &amp; $A7 &amp; "'!$C:$C"), 0)</f>
        <v>539</v>
      </c>
      <c r="BD7" cm="1">
        <f t="array" aca="1" ref="BD7" ca="1">_xlfn.XLOOKUP(BD$5, INDIRECT("'" &amp; $A7 &amp; "'!$A:$A"), INDIRECT("'" &amp; $A7 &amp; "'!$C:$C"), 0)</f>
        <v>268</v>
      </c>
      <c r="BE7" cm="1">
        <f t="array" aca="1" ref="BE7" ca="1">_xlfn.XLOOKUP(BE$5, INDIRECT("'" &amp; $A7 &amp; "'!$A:$A"), INDIRECT("'" &amp; $A7 &amp; "'!$C:$C"), 0)</f>
        <v>311</v>
      </c>
    </row>
    <row r="8" spans="1:57" x14ac:dyDescent="0.25">
      <c r="A8">
        <v>2013</v>
      </c>
      <c r="B8" cm="1">
        <f t="array" aca="1" ref="B8" ca="1">_xlfn.XLOOKUP(B$5, INDIRECT("'" &amp; $A8 &amp; "'!$A:$A"), INDIRECT("'" &amp; $A8 &amp; "'!$C:$C"), 0)</f>
        <v>210</v>
      </c>
      <c r="C8" cm="1">
        <f t="array" aca="1" ref="C8" ca="1">_xlfn.XLOOKUP(C$5, INDIRECT("'" &amp; $A8 &amp; "'!$A:$A"), INDIRECT("'" &amp; $A8 &amp; "'!$C:$C"), 0)</f>
        <v>511</v>
      </c>
      <c r="D8" cm="1">
        <f t="array" aca="1" ref="D8" ca="1">_xlfn.XLOOKUP(D$5, INDIRECT("'" &amp; $A8 &amp; "'!$A:$A"), INDIRECT("'" &amp; $A8 &amp; "'!$C:$C"), 0)</f>
        <v>462</v>
      </c>
      <c r="E8" t="str" cm="1">
        <f t="array" aca="1" ref="E8" ca="1">_xlfn.XLOOKUP(E$5, INDIRECT("'" &amp; $A8 &amp; "'!$A:$A"), INDIRECT("'" &amp; $A8 &amp; "'!$C:$C"), 0)</f>
        <v>.</v>
      </c>
      <c r="F8" cm="1">
        <f t="array" aca="1" ref="F8" ca="1">_xlfn.XLOOKUP(F$5, INDIRECT("'" &amp; $A8 &amp; "'!$A:$A"), INDIRECT("'" &amp; $A8 &amp; "'!$C:$C"), 0)</f>
        <v>1222</v>
      </c>
      <c r="G8" cm="1">
        <f t="array" aca="1" ref="G8" ca="1">_xlfn.XLOOKUP(G$5, INDIRECT("'" &amp; $A8 &amp; "'!$A:$A"), INDIRECT("'" &amp; $A8 &amp; "'!$C:$C"), 0)</f>
        <v>12895</v>
      </c>
      <c r="H8" cm="1">
        <f t="array" aca="1" ref="H8" ca="1">_xlfn.XLOOKUP(H$5, INDIRECT("'" &amp; $A8 &amp; "'!$A:$A"), INDIRECT("'" &amp; $A8 &amp; "'!$C:$C"), 0)</f>
        <v>685</v>
      </c>
      <c r="I8" cm="1">
        <f t="array" aca="1" ref="I8" ca="1">_xlfn.XLOOKUP(I$5, INDIRECT("'" &amp; $A8 &amp; "'!$A:$A"), INDIRECT("'" &amp; $A8 &amp; "'!$C:$C"), 0)</f>
        <v>341</v>
      </c>
      <c r="J8" cm="1">
        <f t="array" aca="1" ref="J8" ca="1">_xlfn.XLOOKUP(J$5, INDIRECT("'" &amp; $A8 &amp; "'!$A:$A"), INDIRECT("'" &amp; $A8 &amp; "'!$C:$C"), 0)</f>
        <v>499</v>
      </c>
      <c r="K8" cm="1">
        <f t="array" aca="1" ref="K8" ca="1">_xlfn.XLOOKUP(K$5, INDIRECT("'" &amp; $A8 &amp; "'!$A:$A"), INDIRECT("'" &amp; $A8 &amp; "'!$C:$C"), 0)</f>
        <v>89</v>
      </c>
      <c r="L8" cm="1">
        <f t="array" aca="1" ref="L8" ca="1">_xlfn.XLOOKUP(L$5, INDIRECT("'" &amp; $A8 &amp; "'!$A:$A"), INDIRECT("'" &amp; $A8 &amp; "'!$C:$C"), 0)</f>
        <v>5505</v>
      </c>
      <c r="M8" cm="1">
        <f t="array" aca="1" ref="M8" ca="1">_xlfn.XLOOKUP(M$5, INDIRECT("'" &amp; $A8 &amp; "'!$A:$A"), INDIRECT("'" &amp; $A8 &amp; "'!$C:$C"), 0)</f>
        <v>1805</v>
      </c>
      <c r="N8" cm="1">
        <f t="array" aca="1" ref="N8" ca="1">_xlfn.XLOOKUP(N$5, INDIRECT("'" &amp; $A8 &amp; "'!$A:$A"), INDIRECT("'" &amp; $A8 &amp; "'!$C:$C"), 0)</f>
        <v>32</v>
      </c>
      <c r="O8" cm="1">
        <f t="array" aca="1" ref="O8" ca="1">_xlfn.XLOOKUP(O$5, INDIRECT("'" &amp; $A8 &amp; "'!$A:$A"), INDIRECT("'" &amp; $A8 &amp; "'!$C:$C"), 0)</f>
        <v>558</v>
      </c>
      <c r="P8" cm="1">
        <f t="array" aca="1" ref="P8" ca="1">_xlfn.XLOOKUP(P$5, INDIRECT("'" &amp; $A8 &amp; "'!$A:$A"), INDIRECT("'" &amp; $A8 &amp; "'!$C:$C"), 0)</f>
        <v>229</v>
      </c>
      <c r="Q8" cm="1">
        <f t="array" aca="1" ref="Q8" ca="1">_xlfn.XLOOKUP(Q$5, INDIRECT("'" &amp; $A8 &amp; "'!$A:$A"), INDIRECT("'" &amp; $A8 &amp; "'!$C:$C"), 0)</f>
        <v>208</v>
      </c>
      <c r="R8" cm="1">
        <f t="array" aca="1" ref="R8" ca="1">_xlfn.XLOOKUP(R$5, INDIRECT("'" &amp; $A8 &amp; "'!$A:$A"), INDIRECT("'" &amp; $A8 &amp; "'!$C:$C"), 0)</f>
        <v>1267</v>
      </c>
      <c r="S8" cm="1">
        <f t="array" aca="1" ref="S8" ca="1">_xlfn.XLOOKUP(S$5, INDIRECT("'" &amp; $A8 &amp; "'!$A:$A"), INDIRECT("'" &amp; $A8 &amp; "'!$C:$C"), 0)</f>
        <v>743</v>
      </c>
      <c r="T8" cm="1">
        <f t="array" aca="1" ref="T8" ca="1">_xlfn.XLOOKUP(T$5,INDIRECT("'"&amp;$A8&amp;"'!$A:$A"),INDIRECT("'"&amp;$A8&amp;"'!$C:$C"),_xlfn.XLOOKUP("KS*",INDIRECT("'"&amp;$A8&amp;"'!$A:$A"),INDIRECT("'"&amp;$A8&amp;"'!$C:$C")))</f>
        <v>414</v>
      </c>
      <c r="U8" cm="1">
        <f t="array" aca="1" ref="U8" ca="1">_xlfn.XLOOKUP(U$5, INDIRECT("'" &amp; $A8 &amp; "'!$A:$A"), INDIRECT("'" &amp; $A8 &amp; "'!$C:$C"), 0)</f>
        <v>607</v>
      </c>
      <c r="V8" cm="1">
        <f t="array" aca="1" ref="V8" ca="1">_xlfn.XLOOKUP(V$5, INDIRECT("'" &amp; $A8 &amp; "'!$A:$A"), INDIRECT("'" &amp; $A8 &amp; "'!$C:$C"), 0)</f>
        <v>575</v>
      </c>
      <c r="W8" cm="1">
        <f t="array" aca="1" ref="W8" ca="1">_xlfn.XLOOKUP(W$5, INDIRECT("'" &amp; $A8 &amp; "'!$A:$A"), INDIRECT("'" &amp; $A8 &amp; "'!$C:$C"), 0)</f>
        <v>1253</v>
      </c>
      <c r="X8" cm="1">
        <f t="array" aca="1" ref="X8" ca="1">_xlfn.XLOOKUP(X$5, INDIRECT("'" &amp; $A8 &amp; "'!$A:$A"), INDIRECT("'" &amp; $A8 &amp; "'!$C:$C"), 0)</f>
        <v>673</v>
      </c>
      <c r="Y8" cm="1">
        <f t="array" aca="1" ref="Y8" ca="1">_xlfn.XLOOKUP(Y$5, INDIRECT("'" &amp; $A8 &amp; "'!$A:$A"), INDIRECT("'" &amp; $A8 &amp; "'!$C:$C"), 0)</f>
        <v>164</v>
      </c>
      <c r="Z8" cm="1">
        <f t="array" aca="1" ref="Z8" ca="1">_xlfn.XLOOKUP(Z$5, INDIRECT("'" &amp; $A8 &amp; "'!$A:$A"), INDIRECT("'" &amp; $A8 &amp; "'!$C:$C"), 0)</f>
        <v>1100</v>
      </c>
      <c r="AA8" cm="1">
        <f t="array" aca="1" ref="AA8" ca="1">_xlfn.XLOOKUP(AA$5, INDIRECT("'" &amp; $A8 &amp; "'!$A:$A"), INDIRECT("'" &amp; $A8 &amp; "'!$C:$C"), 0)</f>
        <v>349</v>
      </c>
      <c r="AB8" cm="1">
        <f t="array" aca="1" ref="AB8" ca="1">_xlfn.XLOOKUP(AB$5, INDIRECT("'" &amp; $A8 &amp; "'!$A:$A"), INDIRECT("'" &amp; $A8 &amp; "'!$C:$C"), 0)</f>
        <v>843</v>
      </c>
      <c r="AC8" t="str" cm="1">
        <f t="array" aca="1" ref="AC8" ca="1">_xlfn.XLOOKUP(AC$5, INDIRECT("'" &amp; $A8 &amp; "'!$A:$A"), INDIRECT("'" &amp; $A8 &amp; "'!$C:$C"), 0)</f>
        <v>.</v>
      </c>
      <c r="AD8" cm="1">
        <f t="array" aca="1" ref="AD8" ca="1">_xlfn.XLOOKUP(AD$5, INDIRECT("'" &amp; $A8 &amp; "'!$A:$A"), INDIRECT("'" &amp; $A8 &amp; "'!$C:$C"), 0)</f>
        <v>210</v>
      </c>
      <c r="AE8" cm="1">
        <f t="array" aca="1" ref="AE8" ca="1">_xlfn.XLOOKUP(AE$5, INDIRECT("'" &amp; $A8 &amp; "'!$A:$A"), INDIRECT("'" &amp; $A8 &amp; "'!$C:$C"), 0)</f>
        <v>309</v>
      </c>
      <c r="AF8" cm="1">
        <f t="array" aca="1" ref="AF8" ca="1">_xlfn.XLOOKUP(AF$5, INDIRECT("'" &amp; $A8 &amp; "'!$A:$A"), INDIRECT("'" &amp; $A8 &amp; "'!$C:$C"), 0)</f>
        <v>1123</v>
      </c>
      <c r="AG8" cm="1">
        <f t="array" aca="1" ref="AG8" ca="1">_xlfn.XLOOKUP(AG$5, INDIRECT("'" &amp; $A8 &amp; "'!$A:$A"), INDIRECT("'" &amp; $A8 &amp; "'!$C:$C"), 0)</f>
        <v>241</v>
      </c>
      <c r="AH8" cm="1">
        <f t="array" aca="1" ref="AH8" ca="1">_xlfn.XLOOKUP(AH$5, INDIRECT("'" &amp; $A8 &amp; "'!$A:$A"), INDIRECT("'" &amp; $A8 &amp; "'!$C:$C"), 0)</f>
        <v>183</v>
      </c>
      <c r="AI8" cm="1">
        <f t="array" aca="1" ref="AI8" ca="1">_xlfn.XLOOKUP(AI$5, INDIRECT("'" &amp; $A8 &amp; "'!$A:$A"), INDIRECT("'" &amp; $A8 &amp; "'!$C:$C"), 0)</f>
        <v>125</v>
      </c>
      <c r="AJ8" cm="1">
        <f t="array" aca="1" ref="AJ8" ca="1">_xlfn.XLOOKUP(AJ$5, INDIRECT("'" &amp; $A8 &amp; "'!$A:$A"), INDIRECT("'" &amp; $A8 &amp; "'!$C:$C"), 0)</f>
        <v>540</v>
      </c>
      <c r="AK8" cm="1">
        <f t="array" aca="1" ref="AK8" ca="1">_xlfn.XLOOKUP(AK$5, INDIRECT("'" &amp; $A8 &amp; "'!$A:$A"), INDIRECT("'" &amp; $A8 &amp; "'!$C:$C"), 0)</f>
        <v>243</v>
      </c>
      <c r="AL8" cm="1">
        <f t="array" aca="1" ref="AL8" ca="1">_xlfn.XLOOKUP(AL$5, INDIRECT("'" &amp; $A8 &amp; "'!$A:$A"), INDIRECT("'" &amp; $A8 &amp; "'!$C:$C"), 0)</f>
        <v>790</v>
      </c>
      <c r="AM8" cm="1">
        <f t="array" aca="1" ref="AM8" ca="1">_xlfn.XLOOKUP(AM$5, INDIRECT("'" &amp; $A8 &amp; "'!$A:$A"), INDIRECT("'" &amp; $A8 &amp; "'!$C:$C"), 0)</f>
        <v>4659</v>
      </c>
      <c r="AN8" cm="1">
        <f t="array" aca="1" ref="AN8" ca="1">_xlfn.XLOOKUP(AN$5, INDIRECT("'" &amp; $A8 &amp; "'!$A:$A"), INDIRECT("'" &amp; $A8 &amp; "'!$C:$C"), 0)</f>
        <v>1212</v>
      </c>
      <c r="AO8" cm="1">
        <f t="array" aca="1" ref="AO8" ca="1">_xlfn.XLOOKUP(AO$5, INDIRECT("'" &amp; $A8 &amp; "'!$A:$A"), INDIRECT("'" &amp; $A8 &amp; "'!$C:$C"), 0)</f>
        <v>437</v>
      </c>
      <c r="AP8" cm="1">
        <f t="array" aca="1" ref="AP8" ca="1">_xlfn.XLOOKUP(AP$5, INDIRECT("'" &amp; $A8 &amp; "'!$A:$A"), INDIRECT("'" &amp; $A8 &amp; "'!$C:$C"), 0)</f>
        <v>1494</v>
      </c>
      <c r="AQ8" cm="1">
        <f t="array" aca="1" ref="AQ8" ca="1">_xlfn.XLOOKUP(AQ$5, INDIRECT("'" &amp; $A8 &amp; "'!$A:$A"), INDIRECT("'" &amp; $A8 &amp; "'!$C:$C"), 0)</f>
        <v>1462</v>
      </c>
      <c r="AR8" cm="1">
        <f t="array" aca="1" ref="AR8" ca="1">_xlfn.XLOOKUP(AR$5, INDIRECT("'" &amp; $A8 &amp; "'!$A:$A"), INDIRECT("'" &amp; $A8 &amp; "'!$C:$C"), 0)</f>
        <v>82</v>
      </c>
      <c r="AS8" cm="1">
        <f t="array" aca="1" ref="AS8" ca="1">_xlfn.XLOOKUP(AS$5, INDIRECT("'" &amp; $A8 &amp; "'!$A:$A"), INDIRECT("'" &amp; $A8 &amp; "'!$C:$C"), 0)</f>
        <v>97</v>
      </c>
      <c r="AT8" cm="1">
        <f t="array" aca="1" ref="AT8" ca="1">_xlfn.XLOOKUP(AT$5, INDIRECT("'" &amp; $A8 &amp; "'!$A:$A"), INDIRECT("'" &amp; $A8 &amp; "'!$C:$C"), 0)</f>
        <v>636</v>
      </c>
      <c r="AU8" cm="1">
        <f t="array" aca="1" ref="AU8" ca="1">_xlfn.XLOOKUP(AU$5, INDIRECT("'" &amp; $A8 &amp; "'!$A:$A"), INDIRECT("'" &amp; $A8 &amp; "'!$C:$C"), 0)</f>
        <v>125</v>
      </c>
      <c r="AV8" cm="1">
        <f t="array" aca="1" ref="AV8" ca="1">_xlfn.XLOOKUP(AV$5, INDIRECT("'" &amp; $A8 &amp; "'!$A:$A"), INDIRECT("'" &amp; $A8 &amp; "'!$C:$C"), 0)</f>
        <v>991</v>
      </c>
      <c r="AW8" cm="1">
        <f t="array" aca="1" ref="AW8" ca="1">_xlfn.XLOOKUP(AW$5, INDIRECT("'" &amp; $A8 &amp; "'!$A:$A"), INDIRECT("'" &amp; $A8 &amp; "'!$C:$C"), 0)</f>
        <v>3878</v>
      </c>
      <c r="AX8" cm="1">
        <f t="array" aca="1" ref="AX8" ca="1">_xlfn.XLOOKUP(AX$5, INDIRECT("'" &amp; $A8 &amp; "'!$A:$A"), INDIRECT("'" &amp; $A8 &amp; "'!$C:$C"), 0)</f>
        <v>327</v>
      </c>
      <c r="AY8" cm="1">
        <f t="array" aca="1" ref="AY8" ca="1">_xlfn.XLOOKUP(AY$5, INDIRECT("'" &amp; $A8 &amp; "'!$A:$A"), INDIRECT("'" &amp; $A8 &amp; "'!$C:$C"), 0)</f>
        <v>719</v>
      </c>
      <c r="AZ8" cm="1">
        <f t="array" aca="1" ref="AZ8" ca="1">_xlfn.XLOOKUP(AZ$5, INDIRECT("'" &amp; $A8 &amp; "'!$A:$A"), INDIRECT("'" &amp; $A8 &amp; "'!$C:$C"), 0)</f>
        <v>33</v>
      </c>
      <c r="BA8" cm="1">
        <f t="array" aca="1" ref="BA8" ca="1">_xlfn.XLOOKUP(BA$5, INDIRECT("'" &amp; $A8 &amp; "'!$A:$A"), INDIRECT("'" &amp; $A8 &amp; "'!$C:$C"), 0)</f>
        <v>128</v>
      </c>
      <c r="BB8" cm="1">
        <f t="array" aca="1" ref="BB8" ca="1">_xlfn.XLOOKUP(BB$5, INDIRECT("'" &amp; $A8 &amp; "'!$A:$A"), INDIRECT("'" &amp; $A8 &amp; "'!$C:$C"), 0)</f>
        <v>1318</v>
      </c>
      <c r="BC8" cm="1">
        <f t="array" aca="1" ref="BC8" ca="1">_xlfn.XLOOKUP(BC$5, INDIRECT("'" &amp; $A8 &amp; "'!$A:$A"), INDIRECT("'" &amp; $A8 &amp; "'!$C:$C"), 0)</f>
        <v>552</v>
      </c>
      <c r="BD8" cm="1">
        <f t="array" aca="1" ref="BD8" ca="1">_xlfn.XLOOKUP(BD$5, INDIRECT("'" &amp; $A8 &amp; "'!$A:$A"), INDIRECT("'" &amp; $A8 &amp; "'!$C:$C"), 0)</f>
        <v>329</v>
      </c>
      <c r="BE8" cm="1">
        <f t="array" aca="1" ref="BE8" ca="1">_xlfn.XLOOKUP(BE$5, INDIRECT("'" &amp; $A8 &amp; "'!$A:$A"), INDIRECT("'" &amp; $A8 &amp; "'!$C:$C"), 0)</f>
        <v>137</v>
      </c>
    </row>
    <row r="9" spans="1:57" x14ac:dyDescent="0.25">
      <c r="A9">
        <v>2014</v>
      </c>
      <c r="B9" cm="1">
        <f t="array" aca="1" ref="B9" ca="1">_xlfn.XLOOKUP(B$5, INDIRECT("'" &amp; $A9 &amp; "'!$A:$A"), INDIRECT("'" &amp; $A9 &amp; "'!$C:$C"), 0)</f>
        <v>178</v>
      </c>
      <c r="C9" cm="1">
        <f t="array" aca="1" ref="C9" ca="1">_xlfn.XLOOKUP(C$5, INDIRECT("'" &amp; $A9 &amp; "'!$A:$A"), INDIRECT("'" &amp; $A9 &amp; "'!$C:$C"), 0)</f>
        <v>542</v>
      </c>
      <c r="D9" cm="1">
        <f t="array" aca="1" ref="D9" ca="1">_xlfn.XLOOKUP(D$5, INDIRECT("'" &amp; $A9 &amp; "'!$A:$A"), INDIRECT("'" &amp; $A9 &amp; "'!$C:$C"), 0)</f>
        <v>361</v>
      </c>
      <c r="E9" t="str" cm="1">
        <f t="array" aca="1" ref="E9" ca="1">_xlfn.XLOOKUP(E$5, INDIRECT("'" &amp; $A9 &amp; "'!$A:$A"), INDIRECT("'" &amp; $A9 &amp; "'!$C:$C"), 0)</f>
        <v>.</v>
      </c>
      <c r="F9" cm="1">
        <f t="array" aca="1" ref="F9" ca="1">_xlfn.XLOOKUP(F$5, INDIRECT("'" &amp; $A9 &amp; "'!$A:$A"), INDIRECT("'" &amp; $A9 &amp; "'!$C:$C"), 0)</f>
        <v>858</v>
      </c>
      <c r="G9" cm="1">
        <f t="array" aca="1" ref="G9" ca="1">_xlfn.XLOOKUP(G$5, INDIRECT("'" &amp; $A9 &amp; "'!$A:$A"), INDIRECT("'" &amp; $A9 &amp; "'!$C:$C"), 0)</f>
        <v>12096</v>
      </c>
      <c r="H9" cm="1">
        <f t="array" aca="1" ref="H9" ca="1">_xlfn.XLOOKUP(H$5, INDIRECT("'" &amp; $A9 &amp; "'!$A:$A"), INDIRECT("'" &amp; $A9 &amp; "'!$C:$C"), 0)</f>
        <v>753</v>
      </c>
      <c r="I9" cm="1">
        <f t="array" aca="1" ref="I9" ca="1">_xlfn.XLOOKUP(I$5, INDIRECT("'" &amp; $A9 &amp; "'!$A:$A"), INDIRECT("'" &amp; $A9 &amp; "'!$C:$C"), 0)</f>
        <v>295</v>
      </c>
      <c r="J9" cm="1">
        <f t="array" aca="1" ref="J9" ca="1">_xlfn.XLOOKUP(J$5, INDIRECT("'" &amp; $A9 &amp; "'!$A:$A"), INDIRECT("'" &amp; $A9 &amp; "'!$C:$C"), 0)</f>
        <v>406</v>
      </c>
      <c r="K9" cm="1">
        <f t="array" aca="1" ref="K9" ca="1">_xlfn.XLOOKUP(K$5, INDIRECT("'" &amp; $A9 &amp; "'!$A:$A"), INDIRECT("'" &amp; $A9 &amp; "'!$C:$C"), 0)</f>
        <v>93</v>
      </c>
      <c r="L9" cm="1">
        <f t="array" aca="1" ref="L9" ca="1">_xlfn.XLOOKUP(L$5, INDIRECT("'" &amp; $A9 &amp; "'!$A:$A"), INDIRECT("'" &amp; $A9 &amp; "'!$C:$C"), 0)</f>
        <v>4552</v>
      </c>
      <c r="M9" cm="1">
        <f t="array" aca="1" ref="M9" ca="1">_xlfn.XLOOKUP(M$5, INDIRECT("'" &amp; $A9 &amp; "'!$A:$A"), INDIRECT("'" &amp; $A9 &amp; "'!$C:$C"), 0)</f>
        <v>1443</v>
      </c>
      <c r="N9" cm="1">
        <f t="array" aca="1" ref="N9" ca="1">_xlfn.XLOOKUP(N$5, INDIRECT("'" &amp; $A9 &amp; "'!$A:$A"), INDIRECT("'" &amp; $A9 &amp; "'!$C:$C"), 0)</f>
        <v>36</v>
      </c>
      <c r="O9" cm="1">
        <f t="array" aca="1" ref="O9" ca="1">_xlfn.XLOOKUP(O$5, INDIRECT("'" &amp; $A9 &amp; "'!$A:$A"), INDIRECT("'" &amp; $A9 &amp; "'!$C:$C"), 0)</f>
        <v>593</v>
      </c>
      <c r="P9" cm="1">
        <f t="array" aca="1" ref="P9" ca="1">_xlfn.XLOOKUP(P$5, INDIRECT("'" &amp; $A9 &amp; "'!$A:$A"), INDIRECT("'" &amp; $A9 &amp; "'!$C:$C"), 0)</f>
        <v>202</v>
      </c>
      <c r="Q9" cm="1">
        <f t="array" aca="1" ref="Q9" ca="1">_xlfn.XLOOKUP(Q$5, INDIRECT("'" &amp; $A9 &amp; "'!$A:$A"), INDIRECT("'" &amp; $A9 &amp; "'!$C:$C"), 0)</f>
        <v>215</v>
      </c>
      <c r="R9" cm="1">
        <f t="array" aca="1" ref="R9" ca="1">_xlfn.XLOOKUP(R$5, INDIRECT("'" &amp; $A9 &amp; "'!$A:$A"), INDIRECT("'" &amp; $A9 &amp; "'!$C:$C"), 0)</f>
        <v>1234</v>
      </c>
      <c r="S9" cm="1">
        <f t="array" aca="1" ref="S9" ca="1">_xlfn.XLOOKUP(S$5, INDIRECT("'" &amp; $A9 &amp; "'!$A:$A"), INDIRECT("'" &amp; $A9 &amp; "'!$C:$C"), 0)</f>
        <v>725</v>
      </c>
      <c r="T9" cm="1">
        <f t="array" aca="1" ref="T9" ca="1">_xlfn.XLOOKUP(T$5,INDIRECT("'"&amp;$A9&amp;"'!$A:$A"),INDIRECT("'"&amp;$A9&amp;"'!$C:$C"),_xlfn.XLOOKUP("KS*",INDIRECT("'"&amp;$A9&amp;"'!$A:$A"),INDIRECT("'"&amp;$A9&amp;"'!$C:$C")))</f>
        <v>393</v>
      </c>
      <c r="U9" cm="1">
        <f t="array" aca="1" ref="U9" ca="1">_xlfn.XLOOKUP(U$5, INDIRECT("'" &amp; $A9 &amp; "'!$A:$A"), INDIRECT("'" &amp; $A9 &amp; "'!$C:$C"), 0)</f>
        <v>600</v>
      </c>
      <c r="V9" cm="1">
        <f t="array" aca="1" ref="V9" ca="1">_xlfn.XLOOKUP(V$5, INDIRECT("'" &amp; $A9 &amp; "'!$A:$A"), INDIRECT("'" &amp; $A9 &amp; "'!$C:$C"), 0)</f>
        <v>437</v>
      </c>
      <c r="W9" cm="1">
        <f t="array" aca="1" ref="W9" ca="1">_xlfn.XLOOKUP(W$5, INDIRECT("'" &amp; $A9 &amp; "'!$A:$A"), INDIRECT("'" &amp; $A9 &amp; "'!$C:$C"), 0)</f>
        <v>1264</v>
      </c>
      <c r="X9" cm="1">
        <f t="array" aca="1" ref="X9" ca="1">_xlfn.XLOOKUP(X$5, INDIRECT("'" &amp; $A9 &amp; "'!$A:$A"), INDIRECT("'" &amp; $A9 &amp; "'!$C:$C"), 0)</f>
        <v>654</v>
      </c>
      <c r="Y9" cm="1">
        <f t="array" aca="1" ref="Y9" ca="1">_xlfn.XLOOKUP(Y$5, INDIRECT("'" &amp; $A9 &amp; "'!$A:$A"), INDIRECT("'" &amp; $A9 &amp; "'!$C:$C"), 0)</f>
        <v>152</v>
      </c>
      <c r="Z9" cm="1">
        <f t="array" aca="1" ref="Z9" ca="1">_xlfn.XLOOKUP(Z$5, INDIRECT("'" &amp; $A9 &amp; "'!$A:$A"), INDIRECT("'" &amp; $A9 &amp; "'!$C:$C"), 0)</f>
        <v>1122</v>
      </c>
      <c r="AA9" cm="1">
        <f t="array" aca="1" ref="AA9" ca="1">_xlfn.XLOOKUP(AA$5, INDIRECT("'" &amp; $A9 &amp; "'!$A:$A"), INDIRECT("'" &amp; $A9 &amp; "'!$C:$C"), 0)</f>
        <v>317</v>
      </c>
      <c r="AB9" cm="1">
        <f t="array" aca="1" ref="AB9" ca="1">_xlfn.XLOOKUP(AB$5, INDIRECT("'" &amp; $A9 &amp; "'!$A:$A"), INDIRECT("'" &amp; $A9 &amp; "'!$C:$C"), 0)</f>
        <v>652</v>
      </c>
      <c r="AC9" t="str" cm="1">
        <f t="array" aca="1" ref="AC9" ca="1">_xlfn.XLOOKUP(AC$5, INDIRECT("'" &amp; $A9 &amp; "'!$A:$A"), INDIRECT("'" &amp; $A9 &amp; "'!$C:$C"), 0)</f>
        <v>.</v>
      </c>
      <c r="AD9" cm="1">
        <f t="array" aca="1" ref="AD9" ca="1">_xlfn.XLOOKUP(AD$5, INDIRECT("'" &amp; $A9 &amp; "'!$A:$A"), INDIRECT("'" &amp; $A9 &amp; "'!$C:$C"), 0)</f>
        <v>279</v>
      </c>
      <c r="AE9" cm="1">
        <f t="array" aca="1" ref="AE9" ca="1">_xlfn.XLOOKUP(AE$5, INDIRECT("'" &amp; $A9 &amp; "'!$A:$A"), INDIRECT("'" &amp; $A9 &amp; "'!$C:$C"), 0)</f>
        <v>256</v>
      </c>
      <c r="AF9" cm="1">
        <f t="array" aca="1" ref="AF9" ca="1">_xlfn.XLOOKUP(AF$5, INDIRECT("'" &amp; $A9 &amp; "'!$A:$A"), INDIRECT("'" &amp; $A9 &amp; "'!$C:$C"), 0)</f>
        <v>1164</v>
      </c>
      <c r="AG9" cm="1">
        <f t="array" aca="1" ref="AG9" ca="1">_xlfn.XLOOKUP(AG$5, INDIRECT("'" &amp; $A9 &amp; "'!$A:$A"), INDIRECT("'" &amp; $A9 &amp; "'!$C:$C"), 0)</f>
        <v>151</v>
      </c>
      <c r="AH9" cm="1">
        <f t="array" aca="1" ref="AH9" ca="1">_xlfn.XLOOKUP(AH$5, INDIRECT("'" &amp; $A9 &amp; "'!$A:$A"), INDIRECT("'" &amp; $A9 &amp; "'!$C:$C"), 0)</f>
        <v>241</v>
      </c>
      <c r="AI9" cm="1">
        <f t="array" aca="1" ref="AI9" ca="1">_xlfn.XLOOKUP(AI$5, INDIRECT("'" &amp; $A9 &amp; "'!$A:$A"), INDIRECT("'" &amp; $A9 &amp; "'!$C:$C"), 0)</f>
        <v>171</v>
      </c>
      <c r="AJ9" cm="1">
        <f t="array" aca="1" ref="AJ9" ca="1">_xlfn.XLOOKUP(AJ$5, INDIRECT("'" &amp; $A9 &amp; "'!$A:$A"), INDIRECT("'" &amp; $A9 &amp; "'!$C:$C"), 0)</f>
        <v>630</v>
      </c>
      <c r="AK9" cm="1">
        <f t="array" aca="1" ref="AK9" ca="1">_xlfn.XLOOKUP(AK$5, INDIRECT("'" &amp; $A9 &amp; "'!$A:$A"), INDIRECT("'" &amp; $A9 &amp; "'!$C:$C"), 0)</f>
        <v>318</v>
      </c>
      <c r="AL9" cm="1">
        <f t="array" aca="1" ref="AL9" ca="1">_xlfn.XLOOKUP(AL$5, INDIRECT("'" &amp; $A9 &amp; "'!$A:$A"), INDIRECT("'" &amp; $A9 &amp; "'!$C:$C"), 0)</f>
        <v>1036</v>
      </c>
      <c r="AM9" cm="1">
        <f t="array" aca="1" ref="AM9" ca="1">_xlfn.XLOOKUP(AM$5, INDIRECT("'" &amp; $A9 &amp; "'!$A:$A"), INDIRECT("'" &amp; $A9 &amp; "'!$C:$C"), 0)</f>
        <v>2542</v>
      </c>
      <c r="AN9" cm="1">
        <f t="array" aca="1" ref="AN9" ca="1">_xlfn.XLOOKUP(AN$5, INDIRECT("'" &amp; $A9 &amp; "'!$A:$A"), INDIRECT("'" &amp; $A9 &amp; "'!$C:$C"), 0)</f>
        <v>1236</v>
      </c>
      <c r="AO9" cm="1">
        <f t="array" aca="1" ref="AO9" ca="1">_xlfn.XLOOKUP(AO$5, INDIRECT("'" &amp; $A9 &amp; "'!$A:$A"), INDIRECT("'" &amp; $A9 &amp; "'!$C:$C"), 0)</f>
        <v>408</v>
      </c>
      <c r="AP9" cm="1">
        <f t="array" aca="1" ref="AP9" ca="1">_xlfn.XLOOKUP(AP$5, INDIRECT("'" &amp; $A9 &amp; "'!$A:$A"), INDIRECT("'" &amp; $A9 &amp; "'!$C:$C"), 0)</f>
        <v>1292</v>
      </c>
      <c r="AQ9" cm="1">
        <f t="array" aca="1" ref="AQ9" ca="1">_xlfn.XLOOKUP(AQ$5, INDIRECT("'" &amp; $A9 &amp; "'!$A:$A"), INDIRECT("'" &amp; $A9 &amp; "'!$C:$C"), 0)</f>
        <v>1411</v>
      </c>
      <c r="AR9" cm="1">
        <f t="array" aca="1" ref="AR9" ca="1">_xlfn.XLOOKUP(AR$5, INDIRECT("'" &amp; $A9 &amp; "'!$A:$A"), INDIRECT("'" &amp; $A9 &amp; "'!$C:$C"), 0)</f>
        <v>87</v>
      </c>
      <c r="AS9" cm="1">
        <f t="array" aca="1" ref="AS9" ca="1">_xlfn.XLOOKUP(AS$5, INDIRECT("'" &amp; $A9 &amp; "'!$A:$A"), INDIRECT("'" &amp; $A9 &amp; "'!$C:$C"), 0)</f>
        <v>108</v>
      </c>
      <c r="AT9" cm="1">
        <f t="array" aca="1" ref="AT9" ca="1">_xlfn.XLOOKUP(AT$5, INDIRECT("'" &amp; $A9 &amp; "'!$A:$A"), INDIRECT("'" &amp; $A9 &amp; "'!$C:$C"), 0)</f>
        <v>703</v>
      </c>
      <c r="AU9" cm="1">
        <f t="array" aca="1" ref="AU9" ca="1">_xlfn.XLOOKUP(AU$5, INDIRECT("'" &amp; $A9 &amp; "'!$A:$A"), INDIRECT("'" &amp; $A9 &amp; "'!$C:$C"), 0)</f>
        <v>132</v>
      </c>
      <c r="AV9" cm="1">
        <f t="array" aca="1" ref="AV9" ca="1">_xlfn.XLOOKUP(AV$5, INDIRECT("'" &amp; $A9 &amp; "'!$A:$A"), INDIRECT("'" &amp; $A9 &amp; "'!$C:$C"), 0)</f>
        <v>1142</v>
      </c>
      <c r="AW9" cm="1">
        <f t="array" aca="1" ref="AW9" ca="1">_xlfn.XLOOKUP(AW$5, INDIRECT("'" &amp; $A9 &amp; "'!$A:$A"), INDIRECT("'" &amp; $A9 &amp; "'!$C:$C"), 0)</f>
        <v>2718</v>
      </c>
      <c r="AX9" cm="1">
        <f t="array" aca="1" ref="AX9" ca="1">_xlfn.XLOOKUP(AX$5, INDIRECT("'" &amp; $A9 &amp; "'!$A:$A"), INDIRECT("'" &amp; $A9 &amp; "'!$C:$C"), 0)</f>
        <v>317</v>
      </c>
      <c r="AY9" cm="1">
        <f t="array" aca="1" ref="AY9" ca="1">_xlfn.XLOOKUP(AY$5, INDIRECT("'" &amp; $A9 &amp; "'!$A:$A"), INDIRECT("'" &amp; $A9 &amp; "'!$C:$C"), 0)</f>
        <v>620</v>
      </c>
      <c r="AZ9" cm="1">
        <f t="array" aca="1" ref="AZ9" ca="1">_xlfn.XLOOKUP(AZ$5, INDIRECT("'" &amp; $A9 &amp; "'!$A:$A"), INDIRECT("'" &amp; $A9 &amp; "'!$C:$C"), 0)</f>
        <v>32</v>
      </c>
      <c r="BA9" cm="1">
        <f t="array" aca="1" ref="BA9" ca="1">_xlfn.XLOOKUP(BA$5, INDIRECT("'" &amp; $A9 &amp; "'!$A:$A"), INDIRECT("'" &amp; $A9 &amp; "'!$C:$C"), 0)</f>
        <v>120</v>
      </c>
      <c r="BB9" cm="1">
        <f t="array" aca="1" ref="BB9" ca="1">_xlfn.XLOOKUP(BB$5, INDIRECT("'" &amp; $A9 &amp; "'!$A:$A"), INDIRECT("'" &amp; $A9 &amp; "'!$C:$C"), 0)</f>
        <v>1433</v>
      </c>
      <c r="BC9" cm="1">
        <f t="array" aca="1" ref="BC9" ca="1">_xlfn.XLOOKUP(BC$5, INDIRECT("'" &amp; $A9 &amp; "'!$A:$A"), INDIRECT("'" &amp; $A9 &amp; "'!$C:$C"), 0)</f>
        <v>520</v>
      </c>
      <c r="BD9" cm="1">
        <f t="array" aca="1" ref="BD9" ca="1">_xlfn.XLOOKUP(BD$5, INDIRECT("'" &amp; $A9 &amp; "'!$A:$A"), INDIRECT("'" &amp; $A9 &amp; "'!$C:$C"), 0)</f>
        <v>333</v>
      </c>
      <c r="BE9" cm="1">
        <f t="array" aca="1" ref="BE9" ca="1">_xlfn.XLOOKUP(BE$5, INDIRECT("'" &amp; $A9 &amp; "'!$A:$A"), INDIRECT("'" &amp; $A9 &amp; "'!$C:$C"), 0)</f>
        <v>116</v>
      </c>
    </row>
    <row r="10" spans="1:57" x14ac:dyDescent="0.25">
      <c r="A10">
        <v>2015</v>
      </c>
      <c r="B10" cm="1">
        <f t="array" aca="1" ref="B10" ca="1">_xlfn.XLOOKUP(B$5, INDIRECT("'" &amp; $A10 &amp; "'!$A:$A"), INDIRECT("'" &amp; $A10 &amp; "'!$C:$C"), 0)</f>
        <v>180</v>
      </c>
      <c r="C10" cm="1">
        <f t="array" aca="1" ref="C10" ca="1">_xlfn.XLOOKUP(C$5, INDIRECT("'" &amp; $A10 &amp; "'!$A:$A"), INDIRECT("'" &amp; $A10 &amp; "'!$C:$C"), 0)</f>
        <v>474</v>
      </c>
      <c r="D10" cm="1">
        <f t="array" aca="1" ref="D10" ca="1">_xlfn.XLOOKUP(D$5, INDIRECT("'" &amp; $A10 &amp; "'!$A:$A"), INDIRECT("'" &amp; $A10 &amp; "'!$C:$C"), 0)</f>
        <v>456</v>
      </c>
      <c r="E10" t="str" cm="1">
        <f t="array" aca="1" ref="E10" ca="1">_xlfn.XLOOKUP(E$5, INDIRECT("'" &amp; $A10 &amp; "'!$A:$A"), INDIRECT("'" &amp; $A10 &amp; "'!$C:$C"), 0)</f>
        <v>.</v>
      </c>
      <c r="F10" cm="1">
        <f t="array" aca="1" ref="F10" ca="1">_xlfn.XLOOKUP(F$5, INDIRECT("'" &amp; $A10 &amp; "'!$A:$A"), INDIRECT("'" &amp; $A10 &amp; "'!$C:$C"), 0)</f>
        <v>1220</v>
      </c>
      <c r="G10" cm="1">
        <f t="array" aca="1" ref="G10" ca="1">_xlfn.XLOOKUP(G$5, INDIRECT("'" &amp; $A10 &amp; "'!$A:$A"), INDIRECT("'" &amp; $A10 &amp; "'!$C:$C"), 0)</f>
        <v>11311</v>
      </c>
      <c r="H10" cm="1">
        <f t="array" aca="1" ref="H10" ca="1">_xlfn.XLOOKUP(H$5, INDIRECT("'" &amp; $A10 &amp; "'!$A:$A"), INDIRECT("'" &amp; $A10 &amp; "'!$C:$C"), 0)</f>
        <v>950</v>
      </c>
      <c r="I10" cm="1">
        <f t="array" aca="1" ref="I10" ca="1">_xlfn.XLOOKUP(I$5, INDIRECT("'" &amp; $A10 &amp; "'!$A:$A"), INDIRECT("'" &amp; $A10 &amp; "'!$C:$C"), 0)</f>
        <v>282</v>
      </c>
      <c r="J10" cm="1">
        <f t="array" aca="1" ref="J10" ca="1">_xlfn.XLOOKUP(J$5, INDIRECT("'" &amp; $A10 &amp; "'!$A:$A"), INDIRECT("'" &amp; $A10 &amp; "'!$C:$C"), 0)</f>
        <v>408</v>
      </c>
      <c r="K10" cm="1">
        <f t="array" aca="1" ref="K10" ca="1">_xlfn.XLOOKUP(K$5, INDIRECT("'" &amp; $A10 &amp; "'!$A:$A"), INDIRECT("'" &amp; $A10 &amp; "'!$C:$C"), 0)</f>
        <v>79</v>
      </c>
      <c r="L10" cm="1">
        <f t="array" aca="1" ref="L10" ca="1">_xlfn.XLOOKUP(L$5, INDIRECT("'" &amp; $A10 &amp; "'!$A:$A"), INDIRECT("'" &amp; $A10 &amp; "'!$C:$C"), 0)</f>
        <v>3926</v>
      </c>
      <c r="M10" cm="1">
        <f t="array" aca="1" ref="M10" ca="1">_xlfn.XLOOKUP(M$5, INDIRECT("'" &amp; $A10 &amp; "'!$A:$A"), INDIRECT("'" &amp; $A10 &amp; "'!$C:$C"), 0)</f>
        <v>1548</v>
      </c>
      <c r="N10" cm="1">
        <f t="array" aca="1" ref="N10" ca="1">_xlfn.XLOOKUP(N$5, INDIRECT("'" &amp; $A10 &amp; "'!$A:$A"), INDIRECT("'" &amp; $A10 &amp; "'!$C:$C"), 0)</f>
        <v>23</v>
      </c>
      <c r="O10" cm="1">
        <f t="array" aca="1" ref="O10" ca="1">_xlfn.XLOOKUP(O$5, INDIRECT("'" &amp; $A10 &amp; "'!$A:$A"), INDIRECT("'" &amp; $A10 &amp; "'!$C:$C"), 0)</f>
        <v>692</v>
      </c>
      <c r="P10" cm="1">
        <f t="array" aca="1" ref="P10" ca="1">_xlfn.XLOOKUP(P$5, INDIRECT("'" &amp; $A10 &amp; "'!$A:$A"), INDIRECT("'" &amp; $A10 &amp; "'!$C:$C"), 0)</f>
        <v>207</v>
      </c>
      <c r="Q10" cm="1">
        <f t="array" aca="1" ref="Q10" ca="1">_xlfn.XLOOKUP(Q$5, INDIRECT("'" &amp; $A10 &amp; "'!$A:$A"), INDIRECT("'" &amp; $A10 &amp; "'!$C:$C"), 0)</f>
        <v>249</v>
      </c>
      <c r="R10" cm="1">
        <f t="array" aca="1" ref="R10" ca="1">_xlfn.XLOOKUP(R$5, INDIRECT("'" &amp; $A10 &amp; "'!$A:$A"), INDIRECT("'" &amp; $A10 &amp; "'!$C:$C"), 0)</f>
        <v>1226</v>
      </c>
      <c r="S10" cm="1">
        <f t="array" aca="1" ref="S10" ca="1">_xlfn.XLOOKUP(S$5, INDIRECT("'" &amp; $A10 &amp; "'!$A:$A"), INDIRECT("'" &amp; $A10 &amp; "'!$C:$C"), 0)</f>
        <v>790</v>
      </c>
      <c r="T10" cm="1">
        <f t="array" aca="1" ref="T10" ca="1">_xlfn.XLOOKUP(T$5,INDIRECT("'"&amp;$A10&amp;"'!$A:$A"),INDIRECT("'"&amp;$A10&amp;"'!$C:$C"),_xlfn.XLOOKUP("KS*",INDIRECT("'"&amp;$A10&amp;"'!$A:$A"),INDIRECT("'"&amp;$A10&amp;"'!$C:$C")))</f>
        <v>311</v>
      </c>
      <c r="U10" cm="1">
        <f t="array" aca="1" ref="U10" ca="1">_xlfn.XLOOKUP(U$5, INDIRECT("'" &amp; $A10 &amp; "'!$A:$A"), INDIRECT("'" &amp; $A10 &amp; "'!$C:$C"), 0)</f>
        <v>591</v>
      </c>
      <c r="V10" cm="1">
        <f t="array" aca="1" ref="V10" ca="1">_xlfn.XLOOKUP(V$5, INDIRECT("'" &amp; $A10 &amp; "'!$A:$A"), INDIRECT("'" &amp; $A10 &amp; "'!$C:$C"), 0)</f>
        <v>392</v>
      </c>
      <c r="W10" cm="1">
        <f t="array" aca="1" ref="W10" ca="1">_xlfn.XLOOKUP(W$5, INDIRECT("'" &amp; $A10 &amp; "'!$A:$A"), INDIRECT("'" &amp; $A10 &amp; "'!$C:$C"), 0)</f>
        <v>1133</v>
      </c>
      <c r="X10" cm="1">
        <f t="array" aca="1" ref="X10" ca="1">_xlfn.XLOOKUP(X$5, INDIRECT("'" &amp; $A10 &amp; "'!$A:$A"), INDIRECT("'" &amp; $A10 &amp; "'!$C:$C"), 0)</f>
        <v>714</v>
      </c>
      <c r="Y10" cm="1">
        <f t="array" aca="1" ref="Y10" ca="1">_xlfn.XLOOKUP(Y$5, INDIRECT("'" &amp; $A10 &amp; "'!$A:$A"), INDIRECT("'" &amp; $A10 &amp; "'!$C:$C"), 0)</f>
        <v>151</v>
      </c>
      <c r="Z10" cm="1">
        <f t="array" aca="1" ref="Z10" ca="1">_xlfn.XLOOKUP(Z$5, INDIRECT("'" &amp; $A10 &amp; "'!$A:$A"), INDIRECT("'" &amp; $A10 &amp; "'!$C:$C"), 0)</f>
        <v>1067</v>
      </c>
      <c r="AA10" cm="1">
        <f t="array" aca="1" ref="AA10" ca="1">_xlfn.XLOOKUP(AA$5, INDIRECT("'" &amp; $A10 &amp; "'!$A:$A"), INDIRECT("'" &amp; $A10 &amp; "'!$C:$C"), 0)</f>
        <v>297</v>
      </c>
      <c r="AB10" cm="1">
        <f t="array" aca="1" ref="AB10" ca="1">_xlfn.XLOOKUP(AB$5, INDIRECT("'" &amp; $A10 &amp; "'!$A:$A"), INDIRECT("'" &amp; $A10 &amp; "'!$C:$C"), 0)</f>
        <v>540</v>
      </c>
      <c r="AC10" t="str" cm="1">
        <f t="array" aca="1" ref="AC10" ca="1">_xlfn.XLOOKUP(AC$5, INDIRECT("'" &amp; $A10 &amp; "'!$A:$A"), INDIRECT("'" &amp; $A10 &amp; "'!$C:$C"), 0)</f>
        <v>.</v>
      </c>
      <c r="AD10" cm="1">
        <f t="array" aca="1" ref="AD10" ca="1">_xlfn.XLOOKUP(AD$5, INDIRECT("'" &amp; $A10 &amp; "'!$A:$A"), INDIRECT("'" &amp; $A10 &amp; "'!$C:$C"), 0)</f>
        <v>206</v>
      </c>
      <c r="AE10" cm="1">
        <f t="array" aca="1" ref="AE10" ca="1">_xlfn.XLOOKUP(AE$5, INDIRECT("'" &amp; $A10 &amp; "'!$A:$A"), INDIRECT("'" &amp; $A10 &amp; "'!$C:$C"), 0)</f>
        <v>277</v>
      </c>
      <c r="AF10" cm="1">
        <f t="array" aca="1" ref="AF10" ca="1">_xlfn.XLOOKUP(AF$5, INDIRECT("'" &amp; $A10 &amp; "'!$A:$A"), INDIRECT("'" &amp; $A10 &amp; "'!$C:$C"), 0)</f>
        <v>1092</v>
      </c>
      <c r="AG10" cm="1">
        <f t="array" aca="1" ref="AG10" ca="1">_xlfn.XLOOKUP(AG$5, INDIRECT("'" &amp; $A10 &amp; "'!$A:$A"), INDIRECT("'" &amp; $A10 &amp; "'!$C:$C"), 0)</f>
        <v>137</v>
      </c>
      <c r="AH10" cm="1">
        <f t="array" aca="1" ref="AH10" ca="1">_xlfn.XLOOKUP(AH$5, INDIRECT("'" &amp; $A10 &amp; "'!$A:$A"), INDIRECT("'" &amp; $A10 &amp; "'!$C:$C"), 0)</f>
        <v>247</v>
      </c>
      <c r="AI10" cm="1">
        <f t="array" aca="1" ref="AI10" ca="1">_xlfn.XLOOKUP(AI$5, INDIRECT("'" &amp; $A10 &amp; "'!$A:$A"), INDIRECT("'" &amp; $A10 &amp; "'!$C:$C"), 0)</f>
        <v>138</v>
      </c>
      <c r="AJ10" cm="1">
        <f t="array" aca="1" ref="AJ10" ca="1">_xlfn.XLOOKUP(AJ$5, INDIRECT("'" &amp; $A10 &amp; "'!$A:$A"), INDIRECT("'" &amp; $A10 &amp; "'!$C:$C"), 0)</f>
        <v>696</v>
      </c>
      <c r="AK10" cm="1">
        <f t="array" aca="1" ref="AK10" ca="1">_xlfn.XLOOKUP(AK$5, INDIRECT("'" &amp; $A10 &amp; "'!$A:$A"), INDIRECT("'" &amp; $A10 &amp; "'!$C:$C"), 0)</f>
        <v>278</v>
      </c>
      <c r="AL10" cm="1">
        <f t="array" aca="1" ref="AL10" ca="1">_xlfn.XLOOKUP(AL$5, INDIRECT("'" &amp; $A10 &amp; "'!$A:$A"), INDIRECT("'" &amp; $A10 &amp; "'!$C:$C"), 0)</f>
        <v>860</v>
      </c>
      <c r="AM10" cm="1">
        <f t="array" aca="1" ref="AM10" ca="1">_xlfn.XLOOKUP(AM$5, INDIRECT("'" &amp; $A10 &amp; "'!$A:$A"), INDIRECT("'" &amp; $A10 &amp; "'!$C:$C"), 0)</f>
        <v>2399</v>
      </c>
      <c r="AN10" cm="1">
        <f t="array" aca="1" ref="AN10" ca="1">_xlfn.XLOOKUP(AN$5, INDIRECT("'" &amp; $A10 &amp; "'!$A:$A"), INDIRECT("'" &amp; $A10 &amp; "'!$C:$C"), 0)</f>
        <v>1183</v>
      </c>
      <c r="AO10" cm="1">
        <f t="array" aca="1" ref="AO10" ca="1">_xlfn.XLOOKUP(AO$5, INDIRECT("'" &amp; $A10 &amp; "'!$A:$A"), INDIRECT("'" &amp; $A10 &amp; "'!$C:$C"), 0)</f>
        <v>351</v>
      </c>
      <c r="AP10" cm="1">
        <f t="array" aca="1" ref="AP10" ca="1">_xlfn.XLOOKUP(AP$5, INDIRECT("'" &amp; $A10 &amp; "'!$A:$A"), INDIRECT("'" &amp; $A10 &amp; "'!$C:$C"), 0)</f>
        <v>1464</v>
      </c>
      <c r="AQ10" cm="1">
        <f t="array" aca="1" ref="AQ10" ca="1">_xlfn.XLOOKUP(AQ$5, INDIRECT("'" &amp; $A10 &amp; "'!$A:$A"), INDIRECT("'" &amp; $A10 &amp; "'!$C:$C"), 0)</f>
        <v>1375</v>
      </c>
      <c r="AR10" cm="1">
        <f t="array" aca="1" ref="AR10" ca="1">_xlfn.XLOOKUP(AR$5, INDIRECT("'" &amp; $A10 &amp; "'!$A:$A"), INDIRECT("'" &amp; $A10 &amp; "'!$C:$C"), 0)</f>
        <v>164</v>
      </c>
      <c r="AS10" cm="1">
        <f t="array" aca="1" ref="AS10" ca="1">_xlfn.XLOOKUP(AS$5, INDIRECT("'" &amp; $A10 &amp; "'!$A:$A"), INDIRECT("'" &amp; $A10 &amp; "'!$C:$C"), 0)</f>
        <v>107</v>
      </c>
      <c r="AT10" cm="1">
        <f t="array" aca="1" ref="AT10" ca="1">_xlfn.XLOOKUP(AT$5, INDIRECT("'" &amp; $A10 &amp; "'!$A:$A"), INDIRECT("'" &amp; $A10 &amp; "'!$C:$C"), 0)</f>
        <v>681</v>
      </c>
      <c r="AU10" cm="1">
        <f t="array" aca="1" ref="AU10" ca="1">_xlfn.XLOOKUP(AU$5, INDIRECT("'" &amp; $A10 &amp; "'!$A:$A"), INDIRECT("'" &amp; $A10 &amp; "'!$C:$C"), 0)</f>
        <v>177</v>
      </c>
      <c r="AV10" cm="1">
        <f t="array" aca="1" ref="AV10" ca="1">_xlfn.XLOOKUP(AV$5, INDIRECT("'" &amp; $A10 &amp; "'!$A:$A"), INDIRECT("'" &amp; $A10 &amp; "'!$C:$C"), 0)</f>
        <v>945</v>
      </c>
      <c r="AW10" cm="1">
        <f t="array" aca="1" ref="AW10" ca="1">_xlfn.XLOOKUP(AW$5, INDIRECT("'" &amp; $A10 &amp; "'!$A:$A"), INDIRECT("'" &amp; $A10 &amp; "'!$C:$C"), 0)</f>
        <v>2393</v>
      </c>
      <c r="AX10" cm="1">
        <f t="array" aca="1" ref="AX10" ca="1">_xlfn.XLOOKUP(AX$5, INDIRECT("'" &amp; $A10 &amp; "'!$A:$A"), INDIRECT("'" &amp; $A10 &amp; "'!$C:$C"), 0)</f>
        <v>337</v>
      </c>
      <c r="AY10" cm="1">
        <f t="array" aca="1" ref="AY10" ca="1">_xlfn.XLOOKUP(AY$5, INDIRECT("'" &amp; $A10 &amp; "'!$A:$A"), INDIRECT("'" &amp; $A10 &amp; "'!$C:$C"), 0)</f>
        <v>604</v>
      </c>
      <c r="AZ10" cm="1">
        <f t="array" aca="1" ref="AZ10" ca="1">_xlfn.XLOOKUP(AZ$5, INDIRECT("'" &amp; $A10 &amp; "'!$A:$A"), INDIRECT("'" &amp; $A10 &amp; "'!$C:$C"), 0)</f>
        <v>34</v>
      </c>
      <c r="BA10" cm="1">
        <f t="array" aca="1" ref="BA10" ca="1">_xlfn.XLOOKUP(BA$5, INDIRECT("'" &amp; $A10 &amp; "'!$A:$A"), INDIRECT("'" &amp; $A10 &amp; "'!$C:$C"), 0)</f>
        <v>119</v>
      </c>
      <c r="BB10" cm="1">
        <f t="array" aca="1" ref="BB10" ca="1">_xlfn.XLOOKUP(BB$5, INDIRECT("'" &amp; $A10 &amp; "'!$A:$A"), INDIRECT("'" &amp; $A10 &amp; "'!$C:$C"), 0)</f>
        <v>1293</v>
      </c>
      <c r="BC10" cm="1">
        <f t="array" aca="1" ref="BC10" ca="1">_xlfn.XLOOKUP(BC$5, INDIRECT("'" &amp; $A10 &amp; "'!$A:$A"), INDIRECT("'" &amp; $A10 &amp; "'!$C:$C"), 0)</f>
        <v>534</v>
      </c>
      <c r="BD10" cm="1">
        <f t="array" aca="1" ref="BD10" ca="1">_xlfn.XLOOKUP(BD$5, INDIRECT("'" &amp; $A10 &amp; "'!$A:$A"), INDIRECT("'" &amp; $A10 &amp; "'!$C:$C"), 0)</f>
        <v>305</v>
      </c>
      <c r="BE10" cm="1">
        <f t="array" aca="1" ref="BE10" ca="1">_xlfn.XLOOKUP(BE$5, INDIRECT("'" &amp; $A10 &amp; "'!$A:$A"), INDIRECT("'" &amp; $A10 &amp; "'!$C:$C"), 0)</f>
        <v>112</v>
      </c>
    </row>
    <row r="11" spans="1:57" x14ac:dyDescent="0.25">
      <c r="A11">
        <v>2016</v>
      </c>
      <c r="B11" cm="1">
        <f t="array" aca="1" ref="B11" ca="1">_xlfn.XLOOKUP(B$5, INDIRECT("'" &amp; $A11 &amp; "'!$A:$A"), INDIRECT("'" &amp; $A11 &amp; "'!$C:$C"), 0)</f>
        <v>168</v>
      </c>
      <c r="C11" cm="1">
        <f t="array" aca="1" ref="C11" ca="1">_xlfn.XLOOKUP(C$5, INDIRECT("'" &amp; $A11 &amp; "'!$A:$A"), INDIRECT("'" &amp; $A11 &amp; "'!$C:$C"), 0)</f>
        <v>373</v>
      </c>
      <c r="D11" cm="1">
        <f t="array" aca="1" ref="D11" ca="1">_xlfn.XLOOKUP(D$5, INDIRECT("'" &amp; $A11 &amp; "'!$A:$A"), INDIRECT("'" &amp; $A11 &amp; "'!$C:$C"), 0)</f>
        <v>222</v>
      </c>
      <c r="E11" t="str" cm="1">
        <f t="array" aca="1" ref="E11" ca="1">_xlfn.XLOOKUP(E$5, INDIRECT("'" &amp; $A11 &amp; "'!$A:$A"), INDIRECT("'" &amp; $A11 &amp; "'!$C:$C"), 0)</f>
        <v>.</v>
      </c>
      <c r="F11" cm="1">
        <f t="array" aca="1" ref="F11" ca="1">_xlfn.XLOOKUP(F$5, INDIRECT("'" &amp; $A11 &amp; "'!$A:$A"), INDIRECT("'" &amp; $A11 &amp; "'!$C:$C"), 0)</f>
        <v>1036</v>
      </c>
      <c r="G11" cm="1">
        <f t="array" aca="1" ref="G11" ca="1">_xlfn.XLOOKUP(G$5, INDIRECT("'" &amp; $A11 &amp; "'!$A:$A"), INDIRECT("'" &amp; $A11 &amp; "'!$C:$C"), 0)</f>
        <v>9612</v>
      </c>
      <c r="H11" cm="1">
        <f t="array" aca="1" ref="H11" ca="1">_xlfn.XLOOKUP(H$5, INDIRECT("'" &amp; $A11 &amp; "'!$A:$A"), INDIRECT("'" &amp; $A11 &amp; "'!$C:$C"), 0)</f>
        <v>1181</v>
      </c>
      <c r="I11" cm="1">
        <f t="array" aca="1" ref="I11" ca="1">_xlfn.XLOOKUP(I$5, INDIRECT("'" &amp; $A11 &amp; "'!$A:$A"), INDIRECT("'" &amp; $A11 &amp; "'!$C:$C"), 0)</f>
        <v>216</v>
      </c>
      <c r="J11" cm="1">
        <f t="array" aca="1" ref="J11" ca="1">_xlfn.XLOOKUP(J$5, INDIRECT("'" &amp; $A11 &amp; "'!$A:$A"), INDIRECT("'" &amp; $A11 &amp; "'!$C:$C"), 0)</f>
        <v>350</v>
      </c>
      <c r="K11" cm="1">
        <f t="array" aca="1" ref="K11" ca="1">_xlfn.XLOOKUP(K$5, INDIRECT("'" &amp; $A11 &amp; "'!$A:$A"), INDIRECT("'" &amp; $A11 &amp; "'!$C:$C"), 0)</f>
        <v>107</v>
      </c>
      <c r="L11" cm="1">
        <f t="array" aca="1" ref="L11" ca="1">_xlfn.XLOOKUP(L$5, INDIRECT("'" &amp; $A11 &amp; "'!$A:$A"), INDIRECT("'" &amp; $A11 &amp; "'!$C:$C"), 0)</f>
        <v>2902</v>
      </c>
      <c r="M11" cm="1">
        <f t="array" aca="1" ref="M11" ca="1">_xlfn.XLOOKUP(M$5, INDIRECT("'" &amp; $A11 &amp; "'!$A:$A"), INDIRECT("'" &amp; $A11 &amp; "'!$C:$C"), 0)</f>
        <v>1055</v>
      </c>
      <c r="N11" cm="1">
        <f t="array" aca="1" ref="N11" ca="1">_xlfn.XLOOKUP(N$5, INDIRECT("'" &amp; $A11 &amp; "'!$A:$A"), INDIRECT("'" &amp; $A11 &amp; "'!$C:$C"), 0)</f>
        <v>21</v>
      </c>
      <c r="O11" cm="1">
        <f t="array" aca="1" ref="O11" ca="1">_xlfn.XLOOKUP(O$5, INDIRECT("'" &amp; $A11 &amp; "'!$A:$A"), INDIRECT("'" &amp; $A11 &amp; "'!$C:$C"), 0)</f>
        <v>670</v>
      </c>
      <c r="P11" cm="1">
        <f t="array" aca="1" ref="P11" ca="1">_xlfn.XLOOKUP(P$5, INDIRECT("'" &amp; $A11 &amp; "'!$A:$A"), INDIRECT("'" &amp; $A11 &amp; "'!$C:$C"), 0)</f>
        <v>170</v>
      </c>
      <c r="Q11" cm="1">
        <f t="array" aca="1" ref="Q11" ca="1">_xlfn.XLOOKUP(Q$5, INDIRECT("'" &amp; $A11 &amp; "'!$A:$A"), INDIRECT("'" &amp; $A11 &amp; "'!$C:$C"), 0)</f>
        <v>267</v>
      </c>
      <c r="R11" cm="1">
        <f t="array" aca="1" ref="R11" ca="1">_xlfn.XLOOKUP(R$5, INDIRECT("'" &amp; $A11 &amp; "'!$A:$A"), INDIRECT("'" &amp; $A11 &amp; "'!$C:$C"), 0)</f>
        <v>949</v>
      </c>
      <c r="S11" cm="1">
        <f t="array" aca="1" ref="S11" ca="1">_xlfn.XLOOKUP(S$5, INDIRECT("'" &amp; $A11 &amp; "'!$A:$A"), INDIRECT("'" &amp; $A11 &amp; "'!$C:$C"), 0)</f>
        <v>663</v>
      </c>
      <c r="T11" cm="1">
        <f t="array" aca="1" ref="T11" ca="1">_xlfn.XLOOKUP(T$5,INDIRECT("'"&amp;$A11&amp;"'!$A:$A"),INDIRECT("'"&amp;$A11&amp;"'!$C:$C"),_xlfn.XLOOKUP("KS*",INDIRECT("'"&amp;$A11&amp;"'!$A:$A"),INDIRECT("'"&amp;$A11&amp;"'!$C:$C")))</f>
        <v>169</v>
      </c>
      <c r="U11" cm="1">
        <f t="array" aca="1" ref="U11" ca="1">_xlfn.XLOOKUP(U$5, INDIRECT("'" &amp; $A11 &amp; "'!$A:$A"), INDIRECT("'" &amp; $A11 &amp; "'!$C:$C"), 0)</f>
        <v>512</v>
      </c>
      <c r="V11" cm="1">
        <f t="array" aca="1" ref="V11" ca="1">_xlfn.XLOOKUP(V$5, INDIRECT("'" &amp; $A11 &amp; "'!$A:$A"), INDIRECT("'" &amp; $A11 &amp; "'!$C:$C"), 0)</f>
        <v>400</v>
      </c>
      <c r="W11" cm="1">
        <f t="array" aca="1" ref="W11" ca="1">_xlfn.XLOOKUP(W$5, INDIRECT("'" &amp; $A11 &amp; "'!$A:$A"), INDIRECT("'" &amp; $A11 &amp; "'!$C:$C"), 0)</f>
        <v>949</v>
      </c>
      <c r="X11" cm="1">
        <f t="array" aca="1" ref="X11" ca="1">_xlfn.XLOOKUP(X$5, INDIRECT("'" &amp; $A11 &amp; "'!$A:$A"), INDIRECT("'" &amp; $A11 &amp; "'!$C:$C"), 0)</f>
        <v>555</v>
      </c>
      <c r="Y11" cm="1">
        <f t="array" aca="1" ref="Y11" ca="1">_xlfn.XLOOKUP(Y$5, INDIRECT("'" &amp; $A11 &amp; "'!$A:$A"), INDIRECT("'" &amp; $A11 &amp; "'!$C:$C"), 0)</f>
        <v>146</v>
      </c>
      <c r="Z11" cm="1">
        <f t="array" aca="1" ref="Z11" ca="1">_xlfn.XLOOKUP(Z$5, INDIRECT("'" &amp; $A11 &amp; "'!$A:$A"), INDIRECT("'" &amp; $A11 &amp; "'!$C:$C"), 0)</f>
        <v>822</v>
      </c>
      <c r="AA11" cm="1">
        <f t="array" aca="1" ref="AA11" ca="1">_xlfn.XLOOKUP(AA$5, INDIRECT("'" &amp; $A11 &amp; "'!$A:$A"), INDIRECT("'" &amp; $A11 &amp; "'!$C:$C"), 0)</f>
        <v>279</v>
      </c>
      <c r="AB11" cm="1">
        <f t="array" aca="1" ref="AB11" ca="1">_xlfn.XLOOKUP(AB$5, INDIRECT("'" &amp; $A11 &amp; "'!$A:$A"), INDIRECT("'" &amp; $A11 &amp; "'!$C:$C"), 0)</f>
        <v>575</v>
      </c>
      <c r="AC11" t="str" cm="1">
        <f t="array" aca="1" ref="AC11" ca="1">_xlfn.XLOOKUP(AC$5, INDIRECT("'" &amp; $A11 &amp; "'!$A:$A"), INDIRECT("'" &amp; $A11 &amp; "'!$C:$C"), 0)</f>
        <v>.</v>
      </c>
      <c r="AD11" cm="1">
        <f t="array" aca="1" ref="AD11" ca="1">_xlfn.XLOOKUP(AD$5, INDIRECT("'" &amp; $A11 &amp; "'!$A:$A"), INDIRECT("'" &amp; $A11 &amp; "'!$C:$C"), 0)</f>
        <v>144</v>
      </c>
      <c r="AE11" cm="1">
        <f t="array" aca="1" ref="AE11" ca="1">_xlfn.XLOOKUP(AE$5, INDIRECT("'" &amp; $A11 &amp; "'!$A:$A"), INDIRECT("'" &amp; $A11 &amp; "'!$C:$C"), 0)</f>
        <v>165</v>
      </c>
      <c r="AF11" cm="1">
        <f t="array" aca="1" ref="AF11" ca="1">_xlfn.XLOOKUP(AF$5, INDIRECT("'" &amp; $A11 &amp; "'!$A:$A"), INDIRECT("'" &amp; $A11 &amp; "'!$C:$C"), 0)</f>
        <v>888</v>
      </c>
      <c r="AG11" cm="1">
        <f t="array" aca="1" ref="AG11" ca="1">_xlfn.XLOOKUP(AG$5, INDIRECT("'" &amp; $A11 &amp; "'!$A:$A"), INDIRECT("'" &amp; $A11 &amp; "'!$C:$C"), 0)</f>
        <v>116</v>
      </c>
      <c r="AH11" cm="1">
        <f t="array" aca="1" ref="AH11" ca="1">_xlfn.XLOOKUP(AH$5, INDIRECT("'" &amp; $A11 &amp; "'!$A:$A"), INDIRECT("'" &amp; $A11 &amp; "'!$C:$C"), 0)</f>
        <v>219</v>
      </c>
      <c r="AI11" cm="1">
        <f t="array" aca="1" ref="AI11" ca="1">_xlfn.XLOOKUP(AI$5, INDIRECT("'" &amp; $A11 &amp; "'!$A:$A"), INDIRECT("'" &amp; $A11 &amp; "'!$C:$C"), 0)</f>
        <v>123</v>
      </c>
      <c r="AJ11" cm="1">
        <f t="array" aca="1" ref="AJ11" ca="1">_xlfn.XLOOKUP(AJ$5, INDIRECT("'" &amp; $A11 &amp; "'!$A:$A"), INDIRECT("'" &amp; $A11 &amp; "'!$C:$C"), 0)</f>
        <v>556</v>
      </c>
      <c r="AK11" cm="1">
        <f t="array" aca="1" ref="AK11" ca="1">_xlfn.XLOOKUP(AK$5, INDIRECT("'" &amp; $A11 &amp; "'!$A:$A"), INDIRECT("'" &amp; $A11 &amp; "'!$C:$C"), 0)</f>
        <v>214</v>
      </c>
      <c r="AL11" cm="1">
        <f t="array" aca="1" ref="AL11" ca="1">_xlfn.XLOOKUP(AL$5, INDIRECT("'" &amp; $A11 &amp; "'!$A:$A"), INDIRECT("'" &amp; $A11 &amp; "'!$C:$C"), 0)</f>
        <v>851</v>
      </c>
      <c r="AM11" cm="1">
        <f t="array" aca="1" ref="AM11" ca="1">_xlfn.XLOOKUP(AM$5, INDIRECT("'" &amp; $A11 &amp; "'!$A:$A"), INDIRECT("'" &amp; $A11 &amp; "'!$C:$C"), 0)</f>
        <v>1248</v>
      </c>
      <c r="AN11" cm="1">
        <f t="array" aca="1" ref="AN11" ca="1">_xlfn.XLOOKUP(AN$5, INDIRECT("'" &amp; $A11 &amp; "'!$A:$A"), INDIRECT("'" &amp; $A11 &amp; "'!$C:$C"), 0)</f>
        <v>930</v>
      </c>
      <c r="AO11" cm="1">
        <f t="array" aca="1" ref="AO11" ca="1">_xlfn.XLOOKUP(AO$5, INDIRECT("'" &amp; $A11 &amp; "'!$A:$A"), INDIRECT("'" &amp; $A11 &amp; "'!$C:$C"), 0)</f>
        <v>358</v>
      </c>
      <c r="AP11" cm="1">
        <f t="array" aca="1" ref="AP11" ca="1">_xlfn.XLOOKUP(AP$5, INDIRECT("'" &amp; $A11 &amp; "'!$A:$A"), INDIRECT("'" &amp; $A11 &amp; "'!$C:$C"), 0)</f>
        <v>1341</v>
      </c>
      <c r="AQ11" cm="1">
        <f t="array" aca="1" ref="AQ11" ca="1">_xlfn.XLOOKUP(AQ$5, INDIRECT("'" &amp; $A11 &amp; "'!$A:$A"), INDIRECT("'" &amp; $A11 &amp; "'!$C:$C"), 0)</f>
        <v>1136</v>
      </c>
      <c r="AR11" cm="1">
        <f t="array" aca="1" ref="AR11" ca="1">_xlfn.XLOOKUP(AR$5, INDIRECT("'" &amp; $A11 &amp; "'!$A:$A"), INDIRECT("'" &amp; $A11 &amp; "'!$C:$C"), 0)</f>
        <v>146</v>
      </c>
      <c r="AS11" cm="1">
        <f t="array" aca="1" ref="AS11" ca="1">_xlfn.XLOOKUP(AS$5, INDIRECT("'" &amp; $A11 &amp; "'!$A:$A"), INDIRECT("'" &amp; $A11 &amp; "'!$C:$C"), 0)</f>
        <v>89</v>
      </c>
      <c r="AT11" cm="1">
        <f t="array" aca="1" ref="AT11" ca="1">_xlfn.XLOOKUP(AT$5, INDIRECT("'" &amp; $A11 &amp; "'!$A:$A"), INDIRECT("'" &amp; $A11 &amp; "'!$C:$C"), 0)</f>
        <v>738</v>
      </c>
      <c r="AU11" cm="1">
        <f t="array" aca="1" ref="AU11" ca="1">_xlfn.XLOOKUP(AU$5, INDIRECT("'" &amp; $A11 &amp; "'!$A:$A"), INDIRECT("'" &amp; $A11 &amp; "'!$C:$C"), 0)</f>
        <v>120</v>
      </c>
      <c r="AV11" cm="1">
        <f t="array" aca="1" ref="AV11" ca="1">_xlfn.XLOOKUP(AV$5, INDIRECT("'" &amp; $A11 &amp; "'!$A:$A"), INDIRECT("'" &amp; $A11 &amp; "'!$C:$C"), 0)</f>
        <v>831</v>
      </c>
      <c r="AW11" cm="1">
        <f t="array" aca="1" ref="AW11" ca="1">_xlfn.XLOOKUP(AW$5, INDIRECT("'" &amp; $A11 &amp; "'!$A:$A"), INDIRECT("'" &amp; $A11 &amp; "'!$C:$C"), 0)</f>
        <v>1768</v>
      </c>
      <c r="AX11" cm="1">
        <f t="array" aca="1" ref="AX11" ca="1">_xlfn.XLOOKUP(AX$5, INDIRECT("'" &amp; $A11 &amp; "'!$A:$A"), INDIRECT("'" &amp; $A11 &amp; "'!$C:$C"), 0)</f>
        <v>335</v>
      </c>
      <c r="AY11" cm="1">
        <f t="array" aca="1" ref="AY11" ca="1">_xlfn.XLOOKUP(AY$5, INDIRECT("'" &amp; $A11 &amp; "'!$A:$A"), INDIRECT("'" &amp; $A11 &amp; "'!$C:$C"), 0)</f>
        <v>515</v>
      </c>
      <c r="AZ11" cm="1">
        <f t="array" aca="1" ref="AZ11" ca="1">_xlfn.XLOOKUP(AZ$5, INDIRECT("'" &amp; $A11 &amp; "'!$A:$A"), INDIRECT("'" &amp; $A11 &amp; "'!$C:$C"), 0)</f>
        <v>32</v>
      </c>
      <c r="BA11" cm="1">
        <f t="array" aca="1" ref="BA11" ca="1">_xlfn.XLOOKUP(BA$5, INDIRECT("'" &amp; $A11 &amp; "'!$A:$A"), INDIRECT("'" &amp; $A11 &amp; "'!$C:$C"), 0)</f>
        <v>110</v>
      </c>
      <c r="BB11" cm="1">
        <f t="array" aca="1" ref="BB11" ca="1">_xlfn.XLOOKUP(BB$5, INDIRECT("'" &amp; $A11 &amp; "'!$A:$A"), INDIRECT("'" &amp; $A11 &amp; "'!$C:$C"), 0)</f>
        <v>1484</v>
      </c>
      <c r="BC11" cm="1">
        <f t="array" aca="1" ref="BC11" ca="1">_xlfn.XLOOKUP(BC$5, INDIRECT("'" &amp; $A11 &amp; "'!$A:$A"), INDIRECT("'" &amp; $A11 &amp; "'!$C:$C"), 0)</f>
        <v>415</v>
      </c>
      <c r="BD11" cm="1">
        <f t="array" aca="1" ref="BD11" ca="1">_xlfn.XLOOKUP(BD$5, INDIRECT("'" &amp; $A11 &amp; "'!$A:$A"), INDIRECT("'" &amp; $A11 &amp; "'!$C:$C"), 0)</f>
        <v>143</v>
      </c>
      <c r="BE11" cm="1">
        <f t="array" aca="1" ref="BE11" ca="1">_xlfn.XLOOKUP(BE$5, INDIRECT("'" &amp; $A11 &amp; "'!$A:$A"), INDIRECT("'" &amp; $A11 &amp; "'!$C:$C"), 0)</f>
        <v>87</v>
      </c>
    </row>
    <row r="12" spans="1:57" x14ac:dyDescent="0.25">
      <c r="A12">
        <v>2017</v>
      </c>
      <c r="B12" cm="1">
        <f t="array" aca="1" ref="B12" ca="1">_xlfn.XLOOKUP(B$5, INDIRECT("'" &amp; $A12 &amp; "'!$A:$A"), INDIRECT("'" &amp; $A12 &amp; "'!$C:$C"), 0)</f>
        <v>124</v>
      </c>
      <c r="C12" cm="1">
        <f t="array" aca="1" ref="C12" ca="1">_xlfn.XLOOKUP(C$5, INDIRECT("'" &amp; $A12 &amp; "'!$A:$A"), INDIRECT("'" &amp; $A12 &amp; "'!$C:$C"), 0)</f>
        <v>269</v>
      </c>
      <c r="D12" cm="1">
        <f t="array" aca="1" ref="D12" ca="1">_xlfn.XLOOKUP(D$5, INDIRECT("'" &amp; $A12 &amp; "'!$A:$A"), INDIRECT("'" &amp; $A12 &amp; "'!$C:$C"), 0)</f>
        <v>239</v>
      </c>
      <c r="E12" t="str" cm="1">
        <f t="array" aca="1" ref="E12" ca="1">_xlfn.XLOOKUP(E$5, INDIRECT("'" &amp; $A12 &amp; "'!$A:$A"), INDIRECT("'" &amp; $A12 &amp; "'!$C:$C"), 0)</f>
        <v>.</v>
      </c>
      <c r="F12" cm="1">
        <f t="array" aca="1" ref="F12" ca="1">_xlfn.XLOOKUP(F$5, INDIRECT("'" &amp; $A12 &amp; "'!$A:$A"), INDIRECT("'" &amp; $A12 &amp; "'!$C:$C"), 0)</f>
        <v>970</v>
      </c>
      <c r="G12" cm="1">
        <f t="array" aca="1" ref="G12" ca="1">_xlfn.XLOOKUP(G$5, INDIRECT("'" &amp; $A12 &amp; "'!$A:$A"), INDIRECT("'" &amp; $A12 &amp; "'!$C:$C"), 0)</f>
        <v>11436</v>
      </c>
      <c r="H12" cm="1">
        <f t="array" aca="1" ref="H12" ca="1">_xlfn.XLOOKUP(H$5, INDIRECT("'" &amp; $A12 &amp; "'!$A:$A"), INDIRECT("'" &amp; $A12 &amp; "'!$C:$C"), 0)</f>
        <v>1078</v>
      </c>
      <c r="I12" cm="1">
        <f t="array" aca="1" ref="I12" ca="1">_xlfn.XLOOKUP(I$5, INDIRECT("'" &amp; $A12 &amp; "'!$A:$A"), INDIRECT("'" &amp; $A12 &amp; "'!$C:$C"), 0)</f>
        <v>191</v>
      </c>
      <c r="J12" cm="1">
        <f t="array" aca="1" ref="J12" ca="1">_xlfn.XLOOKUP(J$5, INDIRECT("'" &amp; $A12 &amp; "'!$A:$A"), INDIRECT("'" &amp; $A12 &amp; "'!$C:$C"), 0)</f>
        <v>285</v>
      </c>
      <c r="K12" cm="1">
        <f t="array" aca="1" ref="K12" ca="1">_xlfn.XLOOKUP(K$5, INDIRECT("'" &amp; $A12 &amp; "'!$A:$A"), INDIRECT("'" &amp; $A12 &amp; "'!$C:$C"), 0)</f>
        <v>91</v>
      </c>
      <c r="L12" cm="1">
        <f t="array" aca="1" ref="L12" ca="1">_xlfn.XLOOKUP(L$5, INDIRECT("'" &amp; $A12 &amp; "'!$A:$A"), INDIRECT("'" &amp; $A12 &amp; "'!$C:$C"), 0)</f>
        <v>2817</v>
      </c>
      <c r="M12" cm="1">
        <f t="array" aca="1" ref="M12" ca="1">_xlfn.XLOOKUP(M$5, INDIRECT("'" &amp; $A12 &amp; "'!$A:$A"), INDIRECT("'" &amp; $A12 &amp; "'!$C:$C"), 0)</f>
        <v>712</v>
      </c>
      <c r="N12" cm="1">
        <f t="array" aca="1" ref="N12" ca="1">_xlfn.XLOOKUP(N$5, INDIRECT("'" &amp; $A12 &amp; "'!$A:$A"), INDIRECT("'" &amp; $A12 &amp; "'!$C:$C"), 0)</f>
        <v>24</v>
      </c>
      <c r="O12" cm="1">
        <f t="array" aca="1" ref="O12" ca="1">_xlfn.XLOOKUP(O$5, INDIRECT("'" &amp; $A12 &amp; "'!$A:$A"), INDIRECT("'" &amp; $A12 &amp; "'!$C:$C"), 0)</f>
        <v>615</v>
      </c>
      <c r="P12" cm="1">
        <f t="array" aca="1" ref="P12" ca="1">_xlfn.XLOOKUP(P$5, INDIRECT("'" &amp; $A12 &amp; "'!$A:$A"), INDIRECT("'" &amp; $A12 &amp; "'!$C:$C"), 0)</f>
        <v>171</v>
      </c>
      <c r="Q12" cm="1">
        <f t="array" aca="1" ref="Q12" ca="1">_xlfn.XLOOKUP(Q$5, INDIRECT("'" &amp; $A12 &amp; "'!$A:$A"), INDIRECT("'" &amp; $A12 &amp; "'!$C:$C"), 0)</f>
        <v>228</v>
      </c>
      <c r="R12" cm="1">
        <f t="array" aca="1" ref="R12" ca="1">_xlfn.XLOOKUP(R$5, INDIRECT("'" &amp; $A12 &amp; "'!$A:$A"), INDIRECT("'" &amp; $A12 &amp; "'!$C:$C"), 0)</f>
        <v>864</v>
      </c>
      <c r="S12" cm="1">
        <f t="array" aca="1" ref="S12" ca="1">_xlfn.XLOOKUP(S$5, INDIRECT("'" &amp; $A12 &amp; "'!$A:$A"), INDIRECT("'" &amp; $A12 &amp; "'!$C:$C"), 0)</f>
        <v>615</v>
      </c>
      <c r="T12" cm="1">
        <f t="array" aca="1" ref="T12" ca="1">_xlfn.XLOOKUP(T$5,INDIRECT("'"&amp;$A12&amp;"'!$A:$A"),INDIRECT("'"&amp;$A12&amp;"'!$C:$C"),_xlfn.XLOOKUP("KS*",INDIRECT("'"&amp;$A12&amp;"'!$A:$A"),INDIRECT("'"&amp;$A12&amp;"'!$C:$C")))</f>
        <v>217</v>
      </c>
      <c r="U12" cm="1">
        <f t="array" aca="1" ref="U12" ca="1">_xlfn.XLOOKUP(U$5, INDIRECT("'" &amp; $A12 &amp; "'!$A:$A"), INDIRECT("'" &amp; $A12 &amp; "'!$C:$C"), 0)</f>
        <v>489</v>
      </c>
      <c r="V12" cm="1">
        <f t="array" aca="1" ref="V12" ca="1">_xlfn.XLOOKUP(V$5, INDIRECT("'" &amp; $A12 &amp; "'!$A:$A"), INDIRECT("'" &amp; $A12 &amp; "'!$C:$C"), 0)</f>
        <v>383</v>
      </c>
      <c r="W12" cm="1">
        <f t="array" aca="1" ref="W12" ca="1">_xlfn.XLOOKUP(W$5, INDIRECT("'" &amp; $A12 &amp; "'!$A:$A"), INDIRECT("'" &amp; $A12 &amp; "'!$C:$C"), 0)</f>
        <v>853</v>
      </c>
      <c r="X12" cm="1">
        <f t="array" aca="1" ref="X12" ca="1">_xlfn.XLOOKUP(X$5, INDIRECT("'" &amp; $A12 &amp; "'!$A:$A"), INDIRECT("'" &amp; $A12 &amp; "'!$C:$C"), 0)</f>
        <v>536</v>
      </c>
      <c r="Y12" cm="1">
        <f t="array" aca="1" ref="Y12" ca="1">_xlfn.XLOOKUP(Y$5, INDIRECT("'" &amp; $A12 &amp; "'!$A:$A"), INDIRECT("'" &amp; $A12 &amp; "'!$C:$C"), 0)</f>
        <v>131</v>
      </c>
      <c r="Z12" cm="1">
        <f t="array" aca="1" ref="Z12" ca="1">_xlfn.XLOOKUP(Z$5, INDIRECT("'" &amp; $A12 &amp; "'!$A:$A"), INDIRECT("'" &amp; $A12 &amp; "'!$C:$C"), 0)</f>
        <v>773</v>
      </c>
      <c r="AA12" cm="1">
        <f t="array" aca="1" ref="AA12" ca="1">_xlfn.XLOOKUP(AA$5, INDIRECT("'" &amp; $A12 &amp; "'!$A:$A"), INDIRECT("'" &amp; $A12 &amp; "'!$C:$C"), 0)</f>
        <v>281</v>
      </c>
      <c r="AB12" cm="1">
        <f t="array" aca="1" ref="AB12" ca="1">_xlfn.XLOOKUP(AB$5, INDIRECT("'" &amp; $A12 &amp; "'!$A:$A"), INDIRECT("'" &amp; $A12 &amp; "'!$C:$C"), 0)</f>
        <v>538</v>
      </c>
      <c r="AC12" cm="1">
        <f t="array" aca="1" ref="AC12" ca="1">_xlfn.XLOOKUP(AC$5, INDIRECT("'" &amp; $A12 &amp; "'!$A:$A"), INDIRECT("'" &amp; $A12 &amp; "'!$C:$C"), 0)</f>
        <v>0</v>
      </c>
      <c r="AD12" cm="1">
        <f t="array" aca="1" ref="AD12" ca="1">_xlfn.XLOOKUP(AD$5, INDIRECT("'" &amp; $A12 &amp; "'!$A:$A"), INDIRECT("'" &amp; $A12 &amp; "'!$C:$C"), 0)</f>
        <v>57</v>
      </c>
      <c r="AE12" cm="1">
        <f t="array" aca="1" ref="AE12" ca="1">_xlfn.XLOOKUP(AE$5, INDIRECT("'" &amp; $A12 &amp; "'!$A:$A"), INDIRECT("'" &amp; $A12 &amp; "'!$C:$C"), 0)</f>
        <v>205</v>
      </c>
      <c r="AF12" cm="1">
        <f t="array" aca="1" ref="AF12" ca="1">_xlfn.XLOOKUP(AF$5, INDIRECT("'" &amp; $A12 &amp; "'!$A:$A"), INDIRECT("'" &amp; $A12 &amp; "'!$C:$C"), 0)</f>
        <v>931</v>
      </c>
      <c r="AG12" cm="1">
        <f t="array" aca="1" ref="AG12" ca="1">_xlfn.XLOOKUP(AG$5, INDIRECT("'" &amp; $A12 &amp; "'!$A:$A"), INDIRECT("'" &amp; $A12 &amp; "'!$C:$C"), 0)</f>
        <v>74</v>
      </c>
      <c r="AH12" cm="1">
        <f t="array" aca="1" ref="AH12" ca="1">_xlfn.XLOOKUP(AH$5, INDIRECT("'" &amp; $A12 &amp; "'!$A:$A"), INDIRECT("'" &amp; $A12 &amp; "'!$C:$C"), 0)</f>
        <v>174</v>
      </c>
      <c r="AI12" cm="1">
        <f t="array" aca="1" ref="AI12" ca="1">_xlfn.XLOOKUP(AI$5, INDIRECT("'" &amp; $A12 &amp; "'!$A:$A"), INDIRECT("'" &amp; $A12 &amp; "'!$C:$C"), 0)</f>
        <v>124</v>
      </c>
      <c r="AJ12" cm="1">
        <f t="array" aca="1" ref="AJ12" ca="1">_xlfn.XLOOKUP(AJ$5, INDIRECT("'" &amp; $A12 &amp; "'!$A:$A"), INDIRECT("'" &amp; $A12 &amp; "'!$C:$C"), 0)</f>
        <v>583</v>
      </c>
      <c r="AK12" cm="1">
        <f t="array" aca="1" ref="AK12" ca="1">_xlfn.XLOOKUP(AK$5, INDIRECT("'" &amp; $A12 &amp; "'!$A:$A"), INDIRECT("'" &amp; $A12 &amp; "'!$C:$C"), 0)</f>
        <v>248</v>
      </c>
      <c r="AL12" cm="1">
        <f t="array" aca="1" ref="AL12" ca="1">_xlfn.XLOOKUP(AL$5, INDIRECT("'" &amp; $A12 &amp; "'!$A:$A"), INDIRECT("'" &amp; $A12 &amp; "'!$C:$C"), 0)</f>
        <v>832</v>
      </c>
      <c r="AM12" cm="1">
        <f t="array" aca="1" ref="AM12" ca="1">_xlfn.XLOOKUP(AM$5, INDIRECT("'" &amp; $A12 &amp; "'!$A:$A"), INDIRECT("'" &amp; $A12 &amp; "'!$C:$C"), 0)</f>
        <v>1244</v>
      </c>
      <c r="AN12" cm="1">
        <f t="array" aca="1" ref="AN12" ca="1">_xlfn.XLOOKUP(AN$5, INDIRECT("'" &amp; $A12 &amp; "'!$A:$A"), INDIRECT("'" &amp; $A12 &amp; "'!$C:$C"), 0)</f>
        <v>862</v>
      </c>
      <c r="AO12" cm="1">
        <f t="array" aca="1" ref="AO12" ca="1">_xlfn.XLOOKUP(AO$5, INDIRECT("'" &amp; $A12 &amp; "'!$A:$A"), INDIRECT("'" &amp; $A12 &amp; "'!$C:$C"), 0)</f>
        <v>349</v>
      </c>
      <c r="AP12" cm="1">
        <f t="array" aca="1" ref="AP12" ca="1">_xlfn.XLOOKUP(AP$5, INDIRECT("'" &amp; $A12 &amp; "'!$A:$A"), INDIRECT("'" &amp; $A12 &amp; "'!$C:$C"), 0)</f>
        <v>1251</v>
      </c>
      <c r="AQ12" cm="1">
        <f t="array" aca="1" ref="AQ12" ca="1">_xlfn.XLOOKUP(AQ$5, INDIRECT("'" &amp; $A12 &amp; "'!$A:$A"), INDIRECT("'" &amp; $A12 &amp; "'!$C:$C"), 0)</f>
        <v>963</v>
      </c>
      <c r="AR12" cm="1">
        <f t="array" aca="1" ref="AR12" ca="1">_xlfn.XLOOKUP(AR$5, INDIRECT("'" &amp; $A12 &amp; "'!$A:$A"), INDIRECT("'" &amp; $A12 &amp; "'!$C:$C"), 0)</f>
        <v>94</v>
      </c>
      <c r="AS12" cm="1">
        <f t="array" aca="1" ref="AS12" ca="1">_xlfn.XLOOKUP(AS$5, INDIRECT("'" &amp; $A12 &amp; "'!$A:$A"), INDIRECT("'" &amp; $A12 &amp; "'!$C:$C"), 0)</f>
        <v>95</v>
      </c>
      <c r="AT12" cm="1">
        <f t="array" aca="1" ref="AT12" ca="1">_xlfn.XLOOKUP(AT$5, INDIRECT("'" &amp; $A12 &amp; "'!$A:$A"), INDIRECT("'" &amp; $A12 &amp; "'!$C:$C"), 0)</f>
        <v>480</v>
      </c>
      <c r="AU12" cm="1">
        <f t="array" aca="1" ref="AU12" ca="1">_xlfn.XLOOKUP(AU$5, INDIRECT("'" &amp; $A12 &amp; "'!$A:$A"), INDIRECT("'" &amp; $A12 &amp; "'!$C:$C"), 0)</f>
        <v>130</v>
      </c>
      <c r="AV12" cm="1">
        <f t="array" aca="1" ref="AV12" ca="1">_xlfn.XLOOKUP(AV$5, INDIRECT("'" &amp; $A12 &amp; "'!$A:$A"), INDIRECT("'" &amp; $A12 &amp; "'!$C:$C"), 0)</f>
        <v>757</v>
      </c>
      <c r="AW12" cm="1">
        <f t="array" aca="1" ref="AW12" ca="1">_xlfn.XLOOKUP(AW$5, INDIRECT("'" &amp; $A12 &amp; "'!$A:$A"), INDIRECT("'" &amp; $A12 &amp; "'!$C:$C"), 0)</f>
        <v>2200</v>
      </c>
      <c r="AX12" cm="1">
        <f t="array" aca="1" ref="AX12" ca="1">_xlfn.XLOOKUP(AX$5, INDIRECT("'" &amp; $A12 &amp; "'!$A:$A"), INDIRECT("'" &amp; $A12 &amp; "'!$C:$C"), 0)</f>
        <v>220</v>
      </c>
      <c r="AY12" cm="1">
        <f t="array" aca="1" ref="AY12" ca="1">_xlfn.XLOOKUP(AY$5, INDIRECT("'" &amp; $A12 &amp; "'!$A:$A"), INDIRECT("'" &amp; $A12 &amp; "'!$C:$C"), 0)</f>
        <v>478</v>
      </c>
      <c r="AZ12" cm="1">
        <f t="array" aca="1" ref="AZ12" ca="1">_xlfn.XLOOKUP(AZ$5, INDIRECT("'" &amp; $A12 &amp; "'!$A:$A"), INDIRECT("'" &amp; $A12 &amp; "'!$C:$C"), 0)</f>
        <v>23</v>
      </c>
      <c r="BA12" cm="1">
        <f t="array" aca="1" ref="BA12" ca="1">_xlfn.XLOOKUP(BA$5, INDIRECT("'" &amp; $A12 &amp; "'!$A:$A"), INDIRECT("'" &amp; $A12 &amp; "'!$C:$C"), 0)</f>
        <v>94</v>
      </c>
      <c r="BB12" cm="1">
        <f t="array" aca="1" ref="BB12" ca="1">_xlfn.XLOOKUP(BB$5, INDIRECT("'" &amp; $A12 &amp; "'!$A:$A"), INDIRECT("'" &amp; $A12 &amp; "'!$C:$C"), 0)</f>
        <v>2093</v>
      </c>
      <c r="BC12" cm="1">
        <f t="array" aca="1" ref="BC12" ca="1">_xlfn.XLOOKUP(BC$5, INDIRECT("'" &amp; $A12 &amp; "'!$A:$A"), INDIRECT("'" &amp; $A12 &amp; "'!$C:$C"), 0)</f>
        <v>329</v>
      </c>
      <c r="BD12" cm="1">
        <f t="array" aca="1" ref="BD12" ca="1">_xlfn.XLOOKUP(BD$5, INDIRECT("'" &amp; $A12 &amp; "'!$A:$A"), INDIRECT("'" &amp; $A12 &amp; "'!$C:$C"), 0)</f>
        <v>137</v>
      </c>
      <c r="BE12" cm="1">
        <f t="array" aca="1" ref="BE12" ca="1">_xlfn.XLOOKUP(BE$5, INDIRECT("'" &amp; $A12 &amp; "'!$A:$A"), INDIRECT("'" &amp; $A12 &amp; "'!$C:$C"), 0)</f>
        <v>63</v>
      </c>
    </row>
    <row r="13" spans="1:57" x14ac:dyDescent="0.25">
      <c r="A13">
        <v>2018</v>
      </c>
      <c r="B13" cm="1">
        <f t="array" aca="1" ref="B13" ca="1">_xlfn.XLOOKUP(B$5, INDIRECT("'" &amp; $A13 &amp; "'!$A:$A"), INDIRECT("'" &amp; $A13 &amp; "'!$C:$C"), 0)</f>
        <v>132</v>
      </c>
      <c r="C13" cm="1">
        <f t="array" aca="1" ref="C13" ca="1">_xlfn.XLOOKUP(C$5, INDIRECT("'" &amp; $A13 &amp; "'!$A:$A"), INDIRECT("'" &amp; $A13 &amp; "'!$C:$C"), 0)</f>
        <v>339</v>
      </c>
      <c r="D13" cm="1">
        <f t="array" aca="1" ref="D13" ca="1">_xlfn.XLOOKUP(D$5, INDIRECT("'" &amp; $A13 &amp; "'!$A:$A"), INDIRECT("'" &amp; $A13 &amp; "'!$C:$C"), 0)</f>
        <v>251</v>
      </c>
      <c r="E13" t="str" cm="1">
        <f t="array" aca="1" ref="E13" ca="1">_xlfn.XLOOKUP(E$5, INDIRECT("'" &amp; $A13 &amp; "'!$A:$A"), INDIRECT("'" &amp; $A13 &amp; "'!$C:$C"), 0)</f>
        <v>.</v>
      </c>
      <c r="F13" cm="1">
        <f t="array" aca="1" ref="F13" ca="1">_xlfn.XLOOKUP(F$5, INDIRECT("'" &amp; $A13 &amp; "'!$A:$A"), INDIRECT("'" &amp; $A13 &amp; "'!$C:$C"), 0)</f>
        <v>893</v>
      </c>
      <c r="G13" cm="1">
        <f t="array" aca="1" ref="G13" ca="1">_xlfn.XLOOKUP(G$5, INDIRECT("'" &amp; $A13 &amp; "'!$A:$A"), INDIRECT("'" &amp; $A13 &amp; "'!$C:$C"), 0)</f>
        <v>10836</v>
      </c>
      <c r="H13" cm="1">
        <f t="array" aca="1" ref="H13" ca="1">_xlfn.XLOOKUP(H$5, INDIRECT("'" &amp; $A13 &amp; "'!$A:$A"), INDIRECT("'" &amp; $A13 &amp; "'!$C:$C"), 0)</f>
        <v>1073</v>
      </c>
      <c r="I13" cm="1">
        <f t="array" aca="1" ref="I13" ca="1">_xlfn.XLOOKUP(I$5, INDIRECT("'" &amp; $A13 &amp; "'!$A:$A"), INDIRECT("'" &amp; $A13 &amp; "'!$C:$C"), 0)</f>
        <v>190</v>
      </c>
      <c r="J13" cm="1">
        <f t="array" aca="1" ref="J13" ca="1">_xlfn.XLOOKUP(J$5, INDIRECT("'" &amp; $A13 &amp; "'!$A:$A"), INDIRECT("'" &amp; $A13 &amp; "'!$C:$C"), 0)</f>
        <v>306</v>
      </c>
      <c r="K13" cm="1">
        <f t="array" aca="1" ref="K13" ca="1">_xlfn.XLOOKUP(K$5, INDIRECT("'" &amp; $A13 &amp; "'!$A:$A"), INDIRECT("'" &amp; $A13 &amp; "'!$C:$C"), 0)</f>
        <v>70</v>
      </c>
      <c r="L13" cm="1">
        <f t="array" aca="1" ref="L13" ca="1">_xlfn.XLOOKUP(L$5, INDIRECT("'" &amp; $A13 &amp; "'!$A:$A"), INDIRECT("'" &amp; $A13 &amp; "'!$C:$C"), 0)</f>
        <v>2543</v>
      </c>
      <c r="M13" cm="1">
        <f t="array" aca="1" ref="M13" ca="1">_xlfn.XLOOKUP(M$5, INDIRECT("'" &amp; $A13 &amp; "'!$A:$A"), INDIRECT("'" &amp; $A13 &amp; "'!$C:$C"), 0)</f>
        <v>705</v>
      </c>
      <c r="N13" cm="1">
        <f t="array" aca="1" ref="N13" ca="1">_xlfn.XLOOKUP(N$5, INDIRECT("'" &amp; $A13 &amp; "'!$A:$A"), INDIRECT("'" &amp; $A13 &amp; "'!$C:$C"), 0)</f>
        <v>14</v>
      </c>
      <c r="O13" cm="1">
        <f t="array" aca="1" ref="O13" ca="1">_xlfn.XLOOKUP(O$5, INDIRECT("'" &amp; $A13 &amp; "'!$A:$A"), INDIRECT("'" &amp; $A13 &amp; "'!$C:$C"), 0)</f>
        <v>532</v>
      </c>
      <c r="P13" cm="1">
        <f t="array" aca="1" ref="P13" ca="1">_xlfn.XLOOKUP(P$5, INDIRECT("'" &amp; $A13 &amp; "'!$A:$A"), INDIRECT("'" &amp; $A13 &amp; "'!$C:$C"), 0)</f>
        <v>196</v>
      </c>
      <c r="Q13" cm="1">
        <f t="array" aca="1" ref="Q13" ca="1">_xlfn.XLOOKUP(Q$5, INDIRECT("'" &amp; $A13 &amp; "'!$A:$A"), INDIRECT("'" &amp; $A13 &amp; "'!$C:$C"), 0)</f>
        <v>215</v>
      </c>
      <c r="R13" cm="1">
        <f t="array" aca="1" ref="R13" ca="1">_xlfn.XLOOKUP(R$5, INDIRECT("'" &amp; $A13 &amp; "'!$A:$A"), INDIRECT("'" &amp; $A13 &amp; "'!$C:$C"), 0)</f>
        <v>804</v>
      </c>
      <c r="S13" cm="1">
        <f t="array" aca="1" ref="S13" ca="1">_xlfn.XLOOKUP(S$5, INDIRECT("'" &amp; $A13 &amp; "'!$A:$A"), INDIRECT("'" &amp; $A13 &amp; "'!$C:$C"), 0)</f>
        <v>539</v>
      </c>
      <c r="T13" cm="1">
        <f t="array" aca="1" ref="T13" ca="1">_xlfn.XLOOKUP(T$5,INDIRECT("'"&amp;$A13&amp;"'!$A:$A"),INDIRECT("'"&amp;$A13&amp;"'!$C:$C"),_xlfn.XLOOKUP("KS*",INDIRECT("'"&amp;$A13&amp;"'!$A:$A"),INDIRECT("'"&amp;$A13&amp;"'!$C:$C")))</f>
        <v>195</v>
      </c>
      <c r="U13" cm="1">
        <f t="array" aca="1" ref="U13" ca="1">_xlfn.XLOOKUP(U$5, INDIRECT("'" &amp; $A13 &amp; "'!$A:$A"), INDIRECT("'" &amp; $A13 &amp; "'!$C:$C"), 0)</f>
        <v>369</v>
      </c>
      <c r="V13" cm="1">
        <f t="array" aca="1" ref="V13" ca="1">_xlfn.XLOOKUP(V$5, INDIRECT("'" &amp; $A13 &amp; "'!$A:$A"), INDIRECT("'" &amp; $A13 &amp; "'!$C:$C"), 0)</f>
        <v>406</v>
      </c>
      <c r="W13" cm="1">
        <f t="array" aca="1" ref="W13" ca="1">_xlfn.XLOOKUP(W$5, INDIRECT("'" &amp; $A13 &amp; "'!$A:$A"), INDIRECT("'" &amp; $A13 &amp; "'!$C:$C"), 0)</f>
        <v>985</v>
      </c>
      <c r="X13" cm="1">
        <f t="array" aca="1" ref="X13" ca="1">_xlfn.XLOOKUP(X$5, INDIRECT("'" &amp; $A13 &amp; "'!$A:$A"), INDIRECT("'" &amp; $A13 &amp; "'!$C:$C"), 0)</f>
        <v>574</v>
      </c>
      <c r="Y13" cm="1">
        <f t="array" aca="1" ref="Y13" ca="1">_xlfn.XLOOKUP(Y$5, INDIRECT("'" &amp; $A13 &amp; "'!$A:$A"), INDIRECT("'" &amp; $A13 &amp; "'!$C:$C"), 0)</f>
        <v>119</v>
      </c>
      <c r="Z13" cm="1">
        <f t="array" aca="1" ref="Z13" ca="1">_xlfn.XLOOKUP(Z$5, INDIRECT("'" &amp; $A13 &amp; "'!$A:$A"), INDIRECT("'" &amp; $A13 &amp; "'!$C:$C"), 0)</f>
        <v>693</v>
      </c>
      <c r="AA13" cm="1">
        <f t="array" aca="1" ref="AA13" ca="1">_xlfn.XLOOKUP(AA$5, INDIRECT("'" &amp; $A13 &amp; "'!$A:$A"), INDIRECT("'" &amp; $A13 &amp; "'!$C:$C"), 0)</f>
        <v>301</v>
      </c>
      <c r="AB13" cm="1">
        <f t="array" aca="1" ref="AB13" ca="1">_xlfn.XLOOKUP(AB$5, INDIRECT("'" &amp; $A13 &amp; "'!$A:$A"), INDIRECT("'" &amp; $A13 &amp; "'!$C:$C"), 0)</f>
        <v>507</v>
      </c>
      <c r="AC13" cm="1">
        <f t="array" aca="1" ref="AC13" ca="1">_xlfn.XLOOKUP(AC$5, INDIRECT("'" &amp; $A13 &amp; "'!$A:$A"), INDIRECT("'" &amp; $A13 &amp; "'!$C:$C"), 0)</f>
        <v>0</v>
      </c>
      <c r="AD13" cm="1">
        <f t="array" aca="1" ref="AD13" ca="1">_xlfn.XLOOKUP(AD$5, INDIRECT("'" &amp; $A13 &amp; "'!$A:$A"), INDIRECT("'" &amp; $A13 &amp; "'!$C:$C"), 0)</f>
        <v>102</v>
      </c>
      <c r="AE13" cm="1">
        <f t="array" aca="1" ref="AE13" ca="1">_xlfn.XLOOKUP(AE$5, INDIRECT("'" &amp; $A13 &amp; "'!$A:$A"), INDIRECT("'" &amp; $A13 &amp; "'!$C:$C"), 0)</f>
        <v>198</v>
      </c>
      <c r="AF13" cm="1">
        <f t="array" aca="1" ref="AF13" ca="1">_xlfn.XLOOKUP(AF$5, INDIRECT("'" &amp; $A13 &amp; "'!$A:$A"), INDIRECT("'" &amp; $A13 &amp; "'!$C:$C"), 0)</f>
        <v>884</v>
      </c>
      <c r="AG13" cm="1">
        <f t="array" aca="1" ref="AG13" ca="1">_xlfn.XLOOKUP(AG$5, INDIRECT("'" &amp; $A13 &amp; "'!$A:$A"), INDIRECT("'" &amp; $A13 &amp; "'!$C:$C"), 0)</f>
        <v>9</v>
      </c>
      <c r="AH13" cm="1">
        <f t="array" aca="1" ref="AH13" ca="1">_xlfn.XLOOKUP(AH$5, INDIRECT("'" &amp; $A13 &amp; "'!$A:$A"), INDIRECT("'" &amp; $A13 &amp; "'!$C:$C"), 0)</f>
        <v>171</v>
      </c>
      <c r="AI13" cm="1">
        <f t="array" aca="1" ref="AI13" ca="1">_xlfn.XLOOKUP(AI$5, INDIRECT("'" &amp; $A13 &amp; "'!$A:$A"), INDIRECT("'" &amp; $A13 &amp; "'!$C:$C"), 0)</f>
        <v>143</v>
      </c>
      <c r="AJ13" cm="1">
        <f t="array" aca="1" ref="AJ13" ca="1">_xlfn.XLOOKUP(AJ$5, INDIRECT("'" &amp; $A13 &amp; "'!$A:$A"), INDIRECT("'" &amp; $A13 &amp; "'!$C:$C"), 0)</f>
        <v>555</v>
      </c>
      <c r="AK13" cm="1">
        <f t="array" aca="1" ref="AK13" ca="1">_xlfn.XLOOKUP(AK$5, INDIRECT("'" &amp; $A13 &amp; "'!$A:$A"), INDIRECT("'" &amp; $A13 &amp; "'!$C:$C"), 0)</f>
        <v>290</v>
      </c>
      <c r="AL13" cm="1">
        <f t="array" aca="1" ref="AL13" ca="1">_xlfn.XLOOKUP(AL$5, INDIRECT("'" &amp; $A13 &amp; "'!$A:$A"), INDIRECT("'" &amp; $A13 &amp; "'!$C:$C"), 0)</f>
        <v>723</v>
      </c>
      <c r="AM13" cm="1">
        <f t="array" aca="1" ref="AM13" ca="1">_xlfn.XLOOKUP(AM$5, INDIRECT("'" &amp; $A13 &amp; "'!$A:$A"), INDIRECT("'" &amp; $A13 &amp; "'!$C:$C"), 0)</f>
        <v>1224</v>
      </c>
      <c r="AN13" cm="1">
        <f t="array" aca="1" ref="AN13" ca="1">_xlfn.XLOOKUP(AN$5, INDIRECT("'" &amp; $A13 &amp; "'!$A:$A"), INDIRECT("'" &amp; $A13 &amp; "'!$C:$C"), 0)</f>
        <v>749</v>
      </c>
      <c r="AO13" cm="1">
        <f t="array" aca="1" ref="AO13" ca="1">_xlfn.XLOOKUP(AO$5, INDIRECT("'" &amp; $A13 &amp; "'!$A:$A"), INDIRECT("'" &amp; $A13 &amp; "'!$C:$C"), 0)</f>
        <v>313</v>
      </c>
      <c r="AP13" cm="1">
        <f t="array" aca="1" ref="AP13" ca="1">_xlfn.XLOOKUP(AP$5, INDIRECT("'" &amp; $A13 &amp; "'!$A:$A"), INDIRECT("'" &amp; $A13 &amp; "'!$C:$C"), 0)</f>
        <v>1363</v>
      </c>
      <c r="AQ13" cm="1">
        <f t="array" aca="1" ref="AQ13" ca="1">_xlfn.XLOOKUP(AQ$5, INDIRECT("'" &amp; $A13 &amp; "'!$A:$A"), INDIRECT("'" &amp; $A13 &amp; "'!$C:$C"), 0)</f>
        <v>982</v>
      </c>
      <c r="AR13" cm="1">
        <f t="array" aca="1" ref="AR13" ca="1">_xlfn.XLOOKUP(AR$5, INDIRECT("'" &amp; $A13 &amp; "'!$A:$A"), INDIRECT("'" &amp; $A13 &amp; "'!$C:$C"), 0)</f>
        <v>82</v>
      </c>
      <c r="AS13" cm="1">
        <f t="array" aca="1" ref="AS13" ca="1">_xlfn.XLOOKUP(AS$5, INDIRECT("'" &amp; $A13 &amp; "'!$A:$A"), INDIRECT("'" &amp; $A13 &amp; "'!$C:$C"), 0)</f>
        <v>103</v>
      </c>
      <c r="AT13" cm="1">
        <f t="array" aca="1" ref="AT13" ca="1">_xlfn.XLOOKUP(AT$5, INDIRECT("'" &amp; $A13 &amp; "'!$A:$A"), INDIRECT("'" &amp; $A13 &amp; "'!$C:$C"), 0)</f>
        <v>415</v>
      </c>
      <c r="AU13" cm="1">
        <f t="array" aca="1" ref="AU13" ca="1">_xlfn.XLOOKUP(AU$5, INDIRECT("'" &amp; $A13 &amp; "'!$A:$A"), INDIRECT("'" &amp; $A13 &amp; "'!$C:$C"), 0)</f>
        <v>110</v>
      </c>
      <c r="AV13" cm="1">
        <f t="array" aca="1" ref="AV13" ca="1">_xlfn.XLOOKUP(AV$5, INDIRECT("'" &amp; $A13 &amp; "'!$A:$A"), INDIRECT("'" &amp; $A13 &amp; "'!$C:$C"), 0)</f>
        <v>742</v>
      </c>
      <c r="AW13" cm="1">
        <f t="array" aca="1" ref="AW13" ca="1">_xlfn.XLOOKUP(AW$5, INDIRECT("'" &amp; $A13 &amp; "'!$A:$A"), INDIRECT("'" &amp; $A13 &amp; "'!$C:$C"), 0)</f>
        <v>1935</v>
      </c>
      <c r="AX13" cm="1">
        <f t="array" aca="1" ref="AX13" ca="1">_xlfn.XLOOKUP(AX$5, INDIRECT("'" &amp; $A13 &amp; "'!$A:$A"), INDIRECT("'" &amp; $A13 &amp; "'!$C:$C"), 0)</f>
        <v>239</v>
      </c>
      <c r="AY13" cm="1">
        <f t="array" aca="1" ref="AY13" ca="1">_xlfn.XLOOKUP(AY$5, INDIRECT("'" &amp; $A13 &amp; "'!$A:$A"), INDIRECT("'" &amp; $A13 &amp; "'!$C:$C"), 0)</f>
        <v>485</v>
      </c>
      <c r="AZ13" cm="1">
        <f t="array" aca="1" ref="AZ13" ca="1">_xlfn.XLOOKUP(AZ$5, INDIRECT("'" &amp; $A13 &amp; "'!$A:$A"), INDIRECT("'" &amp; $A13 &amp; "'!$C:$C"), 0)</f>
        <v>24</v>
      </c>
      <c r="BA13" cm="1">
        <f t="array" aca="1" ref="BA13" ca="1">_xlfn.XLOOKUP(BA$5, INDIRECT("'" &amp; $A13 &amp; "'!$A:$A"), INDIRECT("'" &amp; $A13 &amp; "'!$C:$C"), 0)</f>
        <v>104</v>
      </c>
      <c r="BB13" cm="1">
        <f t="array" aca="1" ref="BB13" ca="1">_xlfn.XLOOKUP(BB$5, INDIRECT("'" &amp; $A13 &amp; "'!$A:$A"), INDIRECT("'" &amp; $A13 &amp; "'!$C:$C"), 0)</f>
        <v>1636</v>
      </c>
      <c r="BC13" cm="1">
        <f t="array" aca="1" ref="BC13" ca="1">_xlfn.XLOOKUP(BC$5, INDIRECT("'" &amp; $A13 &amp; "'!$A:$A"), INDIRECT("'" &amp; $A13 &amp; "'!$C:$C"), 0)</f>
        <v>332</v>
      </c>
      <c r="BD13" cm="1">
        <f t="array" aca="1" ref="BD13" ca="1">_xlfn.XLOOKUP(BD$5, INDIRECT("'" &amp; $A13 &amp; "'!$A:$A"), INDIRECT("'" &amp; $A13 &amp; "'!$C:$C"), 0)</f>
        <v>131</v>
      </c>
      <c r="BE13" cm="1">
        <f t="array" aca="1" ref="BE13" ca="1">_xlfn.XLOOKUP(BE$5, INDIRECT("'" &amp; $A13 &amp; "'!$A:$A"), INDIRECT("'" &amp; $A13 &amp; "'!$C:$C"), 0)</f>
        <v>47</v>
      </c>
    </row>
    <row r="14" spans="1:57" x14ac:dyDescent="0.25">
      <c r="A14">
        <v>2019</v>
      </c>
      <c r="B14" cm="1">
        <f t="array" aca="1" ref="B14" ca="1">_xlfn.XLOOKUP(B$5, INDIRECT("'" &amp; $A14 &amp; "'!$A:$A"), INDIRECT("'" &amp; $A14 &amp; "'!$C:$C"), 0)</f>
        <v>111</v>
      </c>
      <c r="C14" cm="1">
        <f t="array" aca="1" ref="C14" ca="1">_xlfn.XLOOKUP(C$5, INDIRECT("'" &amp; $A14 &amp; "'!$A:$A"), INDIRECT("'" &amp; $A14 &amp; "'!$C:$C"), 0)</f>
        <v>292</v>
      </c>
      <c r="D14" cm="1">
        <f t="array" aca="1" ref="D14" ca="1">_xlfn.XLOOKUP(D$5, INDIRECT("'" &amp; $A14 &amp; "'!$A:$A"), INDIRECT("'" &amp; $A14 &amp; "'!$C:$C"), 0)</f>
        <v>238</v>
      </c>
      <c r="E14" t="str" cm="1">
        <f t="array" aca="1" ref="E14" ca="1">_xlfn.XLOOKUP(E$5, INDIRECT("'" &amp; $A14 &amp; "'!$A:$A"), INDIRECT("'" &amp; $A14 &amp; "'!$C:$C"), 0)</f>
        <v>.</v>
      </c>
      <c r="F14" cm="1">
        <f t="array" aca="1" ref="F14" ca="1">_xlfn.XLOOKUP(F$5, INDIRECT("'" &amp; $A14 &amp; "'!$A:$A"), INDIRECT("'" &amp; $A14 &amp; "'!$C:$C"), 0)</f>
        <v>910</v>
      </c>
      <c r="G14" cm="1">
        <f t="array" aca="1" ref="G14" ca="1">_xlfn.XLOOKUP(G$5, INDIRECT("'" &amp; $A14 &amp; "'!$A:$A"), INDIRECT("'" &amp; $A14 &amp; "'!$C:$C"), 0)</f>
        <v>10980</v>
      </c>
      <c r="H14" cm="1">
        <f t="array" aca="1" ref="H14" ca="1">_xlfn.XLOOKUP(H$5, INDIRECT("'" &amp; $A14 &amp; "'!$A:$A"), INDIRECT("'" &amp; $A14 &amp; "'!$C:$C"), 0)</f>
        <v>1068</v>
      </c>
      <c r="I14" cm="1">
        <f t="array" aca="1" ref="I14" ca="1">_xlfn.XLOOKUP(I$5, INDIRECT("'" &amp; $A14 &amp; "'!$A:$A"), INDIRECT("'" &amp; $A14 &amp; "'!$C:$C"), 0)</f>
        <v>195</v>
      </c>
      <c r="J14" cm="1">
        <f t="array" aca="1" ref="J14" ca="1">_xlfn.XLOOKUP(J$5, INDIRECT("'" &amp; $A14 &amp; "'!$A:$A"), INDIRECT("'" &amp; $A14 &amp; "'!$C:$C"), 0)</f>
        <v>297</v>
      </c>
      <c r="K14" cm="1">
        <f t="array" aca="1" ref="K14" ca="1">_xlfn.XLOOKUP(K$5, INDIRECT("'" &amp; $A14 &amp; "'!$A:$A"), INDIRECT("'" &amp; $A14 &amp; "'!$C:$C"), 0)</f>
        <v>65</v>
      </c>
      <c r="L14" cm="1">
        <f t="array" aca="1" ref="L14" ca="1">_xlfn.XLOOKUP(L$5, INDIRECT("'" &amp; $A14 &amp; "'!$A:$A"), INDIRECT("'" &amp; $A14 &amp; "'!$C:$C"), 0)</f>
        <v>2472</v>
      </c>
      <c r="M14" cm="1">
        <f t="array" aca="1" ref="M14" ca="1">_xlfn.XLOOKUP(M$5, INDIRECT("'" &amp; $A14 &amp; "'!$A:$A"), INDIRECT("'" &amp; $A14 &amp; "'!$C:$C"), 0)</f>
        <v>801</v>
      </c>
      <c r="N14" cm="1">
        <f t="array" aca="1" ref="N14" ca="1">_xlfn.XLOOKUP(N$5, INDIRECT("'" &amp; $A14 &amp; "'!$A:$A"), INDIRECT("'" &amp; $A14 &amp; "'!$C:$C"), 0)</f>
        <v>23</v>
      </c>
      <c r="O14" cm="1">
        <f t="array" aca="1" ref="O14" ca="1">_xlfn.XLOOKUP(O$5, INDIRECT("'" &amp; $A14 &amp; "'!$A:$A"), INDIRECT("'" &amp; $A14 &amp; "'!$C:$C"), 0)</f>
        <v>505</v>
      </c>
      <c r="P14" cm="1">
        <f t="array" aca="1" ref="P14" ca="1">_xlfn.XLOOKUP(P$5, INDIRECT("'" &amp; $A14 &amp; "'!$A:$A"), INDIRECT("'" &amp; $A14 &amp; "'!$C:$C"), 0)</f>
        <v>149</v>
      </c>
      <c r="Q14" cm="1">
        <f t="array" aca="1" ref="Q14" ca="1">_xlfn.XLOOKUP(Q$5, INDIRECT("'" &amp; $A14 &amp; "'!$A:$A"), INDIRECT("'" &amp; $A14 &amp; "'!$C:$C"), 0)</f>
        <v>201</v>
      </c>
      <c r="R14" cm="1">
        <f t="array" aca="1" ref="R14" ca="1">_xlfn.XLOOKUP(R$5, INDIRECT("'" &amp; $A14 &amp; "'!$A:$A"), INDIRECT("'" &amp; $A14 &amp; "'!$C:$C"), 0)</f>
        <v>690</v>
      </c>
      <c r="S14" cm="1">
        <f t="array" aca="1" ref="S14" ca="1">_xlfn.XLOOKUP(S$5, INDIRECT("'" &amp; $A14 &amp; "'!$A:$A"), INDIRECT("'" &amp; $A14 &amp; "'!$C:$C"), 0)</f>
        <v>572</v>
      </c>
      <c r="T14" cm="1">
        <f t="array" aca="1" ref="T14" ca="1">_xlfn.XLOOKUP(T$5,INDIRECT("'"&amp;$A14&amp;"'!$A:$A"),INDIRECT("'"&amp;$A14&amp;"'!$C:$C"),_xlfn.XLOOKUP("KS*",INDIRECT("'"&amp;$A14&amp;"'!$A:$A"),INDIRECT("'"&amp;$A14&amp;"'!$C:$C")))</f>
        <v>189</v>
      </c>
      <c r="U14" cm="1">
        <f t="array" aca="1" ref="U14" ca="1">_xlfn.XLOOKUP(U$5, INDIRECT("'" &amp; $A14 &amp; "'!$A:$A"), INDIRECT("'" &amp; $A14 &amp; "'!$C:$C"), 0)</f>
        <v>447</v>
      </c>
      <c r="V14" cm="1">
        <f t="array" aca="1" ref="V14" ca="1">_xlfn.XLOOKUP(V$5, INDIRECT("'" &amp; $A14 &amp; "'!$A:$A"), INDIRECT("'" &amp; $A14 &amp; "'!$C:$C"), 0)</f>
        <v>360</v>
      </c>
      <c r="W14" cm="1">
        <f t="array" aca="1" ref="W14" ca="1">_xlfn.XLOOKUP(W$5, INDIRECT("'" &amp; $A14 &amp; "'!$A:$A"), INDIRECT("'" &amp; $A14 &amp; "'!$C:$C"), 0)</f>
        <v>917</v>
      </c>
      <c r="X14" cm="1">
        <f t="array" aca="1" ref="X14" ca="1">_xlfn.XLOOKUP(X$5, INDIRECT("'" &amp; $A14 &amp; "'!$A:$A"), INDIRECT("'" &amp; $A14 &amp; "'!$C:$C"), 0)</f>
        <v>490</v>
      </c>
      <c r="Y14" cm="1">
        <f t="array" aca="1" ref="Y14" ca="1">_xlfn.XLOOKUP(Y$5, INDIRECT("'" &amp; $A14 &amp; "'!$A:$A"), INDIRECT("'" &amp; $A14 &amp; "'!$C:$C"), 0)</f>
        <v>116</v>
      </c>
      <c r="Z14" cm="1">
        <f t="array" aca="1" ref="Z14" ca="1">_xlfn.XLOOKUP(Z$5, INDIRECT("'" &amp; $A14 &amp; "'!$A:$A"), INDIRECT("'" &amp; $A14 &amp; "'!$C:$C"), 0)</f>
        <v>599</v>
      </c>
      <c r="AA14" cm="1">
        <f t="array" aca="1" ref="AA14" ca="1">_xlfn.XLOOKUP(AA$5, INDIRECT("'" &amp; $A14 &amp; "'!$A:$A"), INDIRECT("'" &amp; $A14 &amp; "'!$C:$C"), 0)</f>
        <v>297</v>
      </c>
      <c r="AB14" cm="1">
        <f t="array" aca="1" ref="AB14" ca="1">_xlfn.XLOOKUP(AB$5, INDIRECT("'" &amp; $A14 &amp; "'!$A:$A"), INDIRECT("'" &amp; $A14 &amp; "'!$C:$C"), 0)</f>
        <v>488</v>
      </c>
      <c r="AC14" cm="1">
        <f t="array" aca="1" ref="AC14" ca="1">_xlfn.XLOOKUP(AC$5, INDIRECT("'" &amp; $A14 &amp; "'!$A:$A"), INDIRECT("'" &amp; $A14 &amp; "'!$C:$C"), 0)</f>
        <v>4</v>
      </c>
      <c r="AD14" cm="1">
        <f t="array" aca="1" ref="AD14" ca="1">_xlfn.XLOOKUP(AD$5, INDIRECT("'" &amp; $A14 &amp; "'!$A:$A"), INDIRECT("'" &amp; $A14 &amp; "'!$C:$C"), 0)</f>
        <v>72</v>
      </c>
      <c r="AE14" cm="1">
        <f t="array" aca="1" ref="AE14" ca="1">_xlfn.XLOOKUP(AE$5, INDIRECT("'" &amp; $A14 &amp; "'!$A:$A"), INDIRECT("'" &amp; $A14 &amp; "'!$C:$C"), 0)</f>
        <v>205</v>
      </c>
      <c r="AF14" cm="1">
        <f t="array" aca="1" ref="AF14" ca="1">_xlfn.XLOOKUP(AF$5, INDIRECT("'" &amp; $A14 &amp; "'!$A:$A"), INDIRECT("'" &amp; $A14 &amp; "'!$C:$C"), 0)</f>
        <v>907</v>
      </c>
      <c r="AG14" cm="1">
        <f t="array" aca="1" ref="AG14" ca="1">_xlfn.XLOOKUP(AG$5, INDIRECT("'" &amp; $A14 &amp; "'!$A:$A"), INDIRECT("'" &amp; $A14 &amp; "'!$C:$C"), 0)</f>
        <v>49</v>
      </c>
      <c r="AH14" cm="1">
        <f t="array" aca="1" ref="AH14" ca="1">_xlfn.XLOOKUP(AH$5, INDIRECT("'" &amp; $A14 &amp; "'!$A:$A"), INDIRECT("'" &amp; $A14 &amp; "'!$C:$C"), 0)</f>
        <v>175</v>
      </c>
      <c r="AI14" cm="1">
        <f t="array" aca="1" ref="AI14" ca="1">_xlfn.XLOOKUP(AI$5, INDIRECT("'" &amp; $A14 &amp; "'!$A:$A"), INDIRECT("'" &amp; $A14 &amp; "'!$C:$C"), 0)</f>
        <v>113</v>
      </c>
      <c r="AJ14" cm="1">
        <f t="array" aca="1" ref="AJ14" ca="1">_xlfn.XLOOKUP(AJ$5, INDIRECT("'" &amp; $A14 &amp; "'!$A:$A"), INDIRECT("'" &amp; $A14 &amp; "'!$C:$C"), 0)</f>
        <v>551</v>
      </c>
      <c r="AK14" cm="1">
        <f t="array" aca="1" ref="AK14" ca="1">_xlfn.XLOOKUP(AK$5, INDIRECT("'" &amp; $A14 &amp; "'!$A:$A"), INDIRECT("'" &amp; $A14 &amp; "'!$C:$C"), 0)</f>
        <v>257</v>
      </c>
      <c r="AL14" cm="1">
        <f t="array" aca="1" ref="AL14" ca="1">_xlfn.XLOOKUP(AL$5, INDIRECT("'" &amp; $A14 &amp; "'!$A:$A"), INDIRECT("'" &amp; $A14 &amp; "'!$C:$C"), 0)</f>
        <v>674</v>
      </c>
      <c r="AM14" cm="1">
        <f t="array" aca="1" ref="AM14" ca="1">_xlfn.XLOOKUP(AM$5, INDIRECT("'" &amp; $A14 &amp; "'!$A:$A"), INDIRECT("'" &amp; $A14 &amp; "'!$C:$C"), 0)</f>
        <v>1270</v>
      </c>
      <c r="AN14" cm="1">
        <f t="array" aca="1" ref="AN14" ca="1">_xlfn.XLOOKUP(AN$5, INDIRECT("'" &amp; $A14 &amp; "'!$A:$A"), INDIRECT("'" &amp; $A14 &amp; "'!$C:$C"), 0)</f>
        <v>676</v>
      </c>
      <c r="AO14" cm="1">
        <f t="array" aca="1" ref="AO14" ca="1">_xlfn.XLOOKUP(AO$5, INDIRECT("'" &amp; $A14 &amp; "'!$A:$A"), INDIRECT("'" &amp; $A14 &amp; "'!$C:$C"), 0)</f>
        <v>280</v>
      </c>
      <c r="AP14" cm="1">
        <f t="array" aca="1" ref="AP14" ca="1">_xlfn.XLOOKUP(AP$5, INDIRECT("'" &amp; $A14 &amp; "'!$A:$A"), INDIRECT("'" &amp; $A14 &amp; "'!$C:$C"), 0)</f>
        <v>1438</v>
      </c>
      <c r="AQ14" cm="1">
        <f t="array" aca="1" ref="AQ14" ca="1">_xlfn.XLOOKUP(AQ$5, INDIRECT("'" &amp; $A14 &amp; "'!$A:$A"), INDIRECT("'" &amp; $A14 &amp; "'!$C:$C"), 0)</f>
        <v>857</v>
      </c>
      <c r="AR14" cm="1">
        <f t="array" aca="1" ref="AR14" ca="1">_xlfn.XLOOKUP(AR$5, INDIRECT("'" &amp; $A14 &amp; "'!$A:$A"), INDIRECT("'" &amp; $A14 &amp; "'!$C:$C"), 0)</f>
        <v>90</v>
      </c>
      <c r="AS14" cm="1">
        <f t="array" aca="1" ref="AS14" ca="1">_xlfn.XLOOKUP(AS$5, INDIRECT("'" &amp; $A14 &amp; "'!$A:$A"), INDIRECT("'" &amp; $A14 &amp; "'!$C:$C"), 0)</f>
        <v>92</v>
      </c>
      <c r="AT14" cm="1">
        <f t="array" aca="1" ref="AT14" ca="1">_xlfn.XLOOKUP(AT$5, INDIRECT("'" &amp; $A14 &amp; "'!$A:$A"), INDIRECT("'" &amp; $A14 &amp; "'!$C:$C"), 0)</f>
        <v>462</v>
      </c>
      <c r="AU14" cm="1">
        <f t="array" aca="1" ref="AU14" ca="1">_xlfn.XLOOKUP(AU$5, INDIRECT("'" &amp; $A14 &amp; "'!$A:$A"), INDIRECT("'" &amp; $A14 &amp; "'!$C:$C"), 0)</f>
        <v>66</v>
      </c>
      <c r="AV14" cm="1">
        <f t="array" aca="1" ref="AV14" ca="1">_xlfn.XLOOKUP(AV$5, INDIRECT("'" &amp; $A14 &amp; "'!$A:$A"), INDIRECT("'" &amp; $A14 &amp; "'!$C:$C"), 0)</f>
        <v>679</v>
      </c>
      <c r="AW14" cm="1">
        <f t="array" aca="1" ref="AW14" ca="1">_xlfn.XLOOKUP(AW$5, INDIRECT("'" &amp; $A14 &amp; "'!$A:$A"), INDIRECT("'" &amp; $A14 &amp; "'!$C:$C"), 0)</f>
        <v>1806</v>
      </c>
      <c r="AX14" cm="1">
        <f t="array" aca="1" ref="AX14" ca="1">_xlfn.XLOOKUP(AX$5, INDIRECT("'" &amp; $A14 &amp; "'!$A:$A"), INDIRECT("'" &amp; $A14 &amp; "'!$C:$C"), 0)</f>
        <v>211</v>
      </c>
      <c r="AY14" cm="1">
        <f t="array" aca="1" ref="AY14" ca="1">_xlfn.XLOOKUP(AY$5, INDIRECT("'" &amp; $A14 &amp; "'!$A:$A"), INDIRECT("'" &amp; $A14 &amp; "'!$C:$C"), 0)</f>
        <v>447</v>
      </c>
      <c r="AZ14" cm="1">
        <f t="array" aca="1" ref="AZ14" ca="1">_xlfn.XLOOKUP(AZ$5, INDIRECT("'" &amp; $A14 &amp; "'!$A:$A"), INDIRECT("'" &amp; $A14 &amp; "'!$C:$C"), 0)</f>
        <v>13</v>
      </c>
      <c r="BA14" cm="1">
        <f t="array" aca="1" ref="BA14" ca="1">_xlfn.XLOOKUP(BA$5, INDIRECT("'" &amp; $A14 &amp; "'!$A:$A"), INDIRECT("'" &amp; $A14 &amp; "'!$C:$C"), 0)</f>
        <v>87</v>
      </c>
      <c r="BB14" cm="1">
        <f t="array" aca="1" ref="BB14" ca="1">_xlfn.XLOOKUP(BB$5, INDIRECT("'" &amp; $A14 &amp; "'!$A:$A"), INDIRECT("'" &amp; $A14 &amp; "'!$C:$C"), 0)</f>
        <v>1585</v>
      </c>
      <c r="BC14" cm="1">
        <f t="array" aca="1" ref="BC14" ca="1">_xlfn.XLOOKUP(BC$5, INDIRECT("'" &amp; $A14 &amp; "'!$A:$A"), INDIRECT("'" &amp; $A14 &amp; "'!$C:$C"), 0)</f>
        <v>359</v>
      </c>
      <c r="BD14" cm="1">
        <f t="array" aca="1" ref="BD14" ca="1">_xlfn.XLOOKUP(BD$5, INDIRECT("'" &amp; $A14 &amp; "'!$A:$A"), INDIRECT("'" &amp; $A14 &amp; "'!$C:$C"), 0)</f>
        <v>137</v>
      </c>
      <c r="BE14" cm="1">
        <f t="array" aca="1" ref="BE14" ca="1">_xlfn.XLOOKUP(BE$5, INDIRECT("'" &amp; $A14 &amp; "'!$A:$A"), INDIRECT("'" &amp; $A14 &amp; "'!$C:$C"), 0)</f>
        <v>51</v>
      </c>
    </row>
    <row r="15" spans="1:57" x14ac:dyDescent="0.25">
      <c r="A15">
        <v>2020</v>
      </c>
      <c r="B15" cm="1">
        <f t="array" aca="1" ref="B15" ca="1">_xlfn.XLOOKUP(B$5, INDIRECT("'" &amp; $A15 &amp; "'!$A:$A"), INDIRECT("'" &amp; $A15 &amp; "'!$C:$C"), 0)</f>
        <v>94</v>
      </c>
      <c r="C15" cm="1">
        <f t="array" aca="1" ref="C15" ca="1">_xlfn.XLOOKUP(C$5, INDIRECT("'" &amp; $A15 &amp; "'!$A:$A"), INDIRECT("'" &amp; $A15 &amp; "'!$C:$C"), 0)</f>
        <v>329</v>
      </c>
      <c r="D15" cm="1">
        <f t="array" aca="1" ref="D15" ca="1">_xlfn.XLOOKUP(D$5, INDIRECT("'" &amp; $A15 &amp; "'!$A:$A"), INDIRECT("'" &amp; $A15 &amp; "'!$C:$C"), 0)</f>
        <v>188</v>
      </c>
      <c r="E15" t="str" cm="1">
        <f t="array" aca="1" ref="E15" ca="1">_xlfn.XLOOKUP(E$5, INDIRECT("'" &amp; $A15 &amp; "'!$A:$A"), INDIRECT("'" &amp; $A15 &amp; "'!$C:$C"), 0)</f>
        <v>.</v>
      </c>
      <c r="F15" cm="1">
        <f t="array" aca="1" ref="F15" ca="1">_xlfn.XLOOKUP(F$5, INDIRECT("'" &amp; $A15 &amp; "'!$A:$A"), INDIRECT("'" &amp; $A15 &amp; "'!$C:$C"), 0)</f>
        <v>921</v>
      </c>
      <c r="G15" cm="1">
        <f t="array" aca="1" ref="G15" ca="1">_xlfn.XLOOKUP(G$5, INDIRECT("'" &amp; $A15 &amp; "'!$A:$A"), INDIRECT("'" &amp; $A15 &amp; "'!$C:$C"), 0)</f>
        <v>11401</v>
      </c>
      <c r="H15" cm="1">
        <f t="array" aca="1" ref="H15" ca="1">_xlfn.XLOOKUP(H$5, INDIRECT("'" &amp; $A15 &amp; "'!$A:$A"), INDIRECT("'" &amp; $A15 &amp; "'!$C:$C"), 0)</f>
        <v>1044</v>
      </c>
      <c r="I15" cm="1">
        <f t="array" aca="1" ref="I15" ca="1">_xlfn.XLOOKUP(I$5, INDIRECT("'" &amp; $A15 &amp; "'!$A:$A"), INDIRECT("'" &amp; $A15 &amp; "'!$C:$C"), 0)</f>
        <v>199</v>
      </c>
      <c r="J15" cm="1">
        <f t="array" aca="1" ref="J15" ca="1">_xlfn.XLOOKUP(J$5, INDIRECT("'" &amp; $A15 &amp; "'!$A:$A"), INDIRECT("'" &amp; $A15 &amp; "'!$C:$C"), 0)</f>
        <v>302</v>
      </c>
      <c r="K15" cm="1">
        <f t="array" aca="1" ref="K15" ca="1">_xlfn.XLOOKUP(K$5, INDIRECT("'" &amp; $A15 &amp; "'!$A:$A"), INDIRECT("'" &amp; $A15 &amp; "'!$C:$C"), 0)</f>
        <v>78</v>
      </c>
      <c r="L15" cm="1">
        <f t="array" aca="1" ref="L15" ca="1">_xlfn.XLOOKUP(L$5, INDIRECT("'" &amp; $A15 &amp; "'!$A:$A"), INDIRECT("'" &amp; $A15 &amp; "'!$C:$C"), 0)</f>
        <v>2436</v>
      </c>
      <c r="M15" cm="1">
        <f t="array" aca="1" ref="M15" ca="1">_xlfn.XLOOKUP(M$5, INDIRECT("'" &amp; $A15 &amp; "'!$A:$A"), INDIRECT("'" &amp; $A15 &amp; "'!$C:$C"), 0)</f>
        <v>764</v>
      </c>
      <c r="N15" cm="1">
        <f t="array" aca="1" ref="N15" ca="1">_xlfn.XLOOKUP(N$5, INDIRECT("'" &amp; $A15 &amp; "'!$A:$A"), INDIRECT("'" &amp; $A15 &amp; "'!$C:$C"), 0)</f>
        <v>21</v>
      </c>
      <c r="O15" cm="1">
        <f t="array" aca="1" ref="O15" ca="1">_xlfn.XLOOKUP(O$5, INDIRECT("'" &amp; $A15 &amp; "'!$A:$A"), INDIRECT("'" &amp; $A15 &amp; "'!$C:$C"), 0)</f>
        <v>485</v>
      </c>
      <c r="P15" cm="1">
        <f t="array" aca="1" ref="P15" ca="1">_xlfn.XLOOKUP(P$5, INDIRECT("'" &amp; $A15 &amp; "'!$A:$A"), INDIRECT("'" &amp; $A15 &amp; "'!$C:$C"), 0)</f>
        <v>154</v>
      </c>
      <c r="Q15" cm="1">
        <f t="array" aca="1" ref="Q15" ca="1">_xlfn.XLOOKUP(Q$5, INDIRECT("'" &amp; $A15 &amp; "'!$A:$A"), INDIRECT("'" &amp; $A15 &amp; "'!$C:$C"), 0)</f>
        <v>178</v>
      </c>
      <c r="R15" cm="1">
        <f t="array" aca="1" ref="R15" ca="1">_xlfn.XLOOKUP(R$5, INDIRECT("'" &amp; $A15 &amp; "'!$A:$A"), INDIRECT("'" &amp; $A15 &amp; "'!$C:$C"), 0)</f>
        <v>736</v>
      </c>
      <c r="S15" cm="1">
        <f t="array" aca="1" ref="S15" ca="1">_xlfn.XLOOKUP(S$5, INDIRECT("'" &amp; $A15 &amp; "'!$A:$A"), INDIRECT("'" &amp; $A15 &amp; "'!$C:$C"), 0)</f>
        <v>530</v>
      </c>
      <c r="T15" cm="1">
        <f t="array" aca="1" ref="T15" ca="1">_xlfn.XLOOKUP(T$5,INDIRECT("'"&amp;$A15&amp;"'!$A:$A"),INDIRECT("'"&amp;$A15&amp;"'!$C:$C"),_xlfn.XLOOKUP("KS*",INDIRECT("'"&amp;$A15&amp;"'!$A:$A"),INDIRECT("'"&amp;$A15&amp;"'!$C:$C")))</f>
        <v>203</v>
      </c>
      <c r="U15" cm="1">
        <f t="array" aca="1" ref="U15" ca="1">_xlfn.XLOOKUP(U$5, INDIRECT("'" &amp; $A15 &amp; "'!$A:$A"), INDIRECT("'" &amp; $A15 &amp; "'!$C:$C"), 0)</f>
        <v>399</v>
      </c>
      <c r="V15" cm="1">
        <f t="array" aca="1" ref="V15" ca="1">_xlfn.XLOOKUP(V$5, INDIRECT("'" &amp; $A15 &amp; "'!$A:$A"), INDIRECT("'" &amp; $A15 &amp; "'!$C:$C"), 0)</f>
        <v>378</v>
      </c>
      <c r="W15" cm="1">
        <f t="array" aca="1" ref="W15" ca="1">_xlfn.XLOOKUP(W$5, INDIRECT("'" &amp; $A15 &amp; "'!$A:$A"), INDIRECT("'" &amp; $A15 &amp; "'!$C:$C"), 0)</f>
        <v>836</v>
      </c>
      <c r="X15" cm="1">
        <f t="array" aca="1" ref="X15" ca="1">_xlfn.XLOOKUP(X$5, INDIRECT("'" &amp; $A15 &amp; "'!$A:$A"), INDIRECT("'" &amp; $A15 &amp; "'!$C:$C"), 0)</f>
        <v>464</v>
      </c>
      <c r="Y15" cm="1">
        <f t="array" aca="1" ref="Y15" ca="1">_xlfn.XLOOKUP(Y$5, INDIRECT("'" &amp; $A15 &amp; "'!$A:$A"), INDIRECT("'" &amp; $A15 &amp; "'!$C:$C"), 0)</f>
        <v>103</v>
      </c>
      <c r="Z15" cm="1">
        <f t="array" aca="1" ref="Z15" ca="1">_xlfn.XLOOKUP(Z$5, INDIRECT("'" &amp; $A15 &amp; "'!$A:$A"), INDIRECT("'" &amp; $A15 &amp; "'!$C:$C"), 0)</f>
        <v>639</v>
      </c>
      <c r="AA15" cm="1">
        <f t="array" aca="1" ref="AA15" ca="1">_xlfn.XLOOKUP(AA$5, INDIRECT("'" &amp; $A15 &amp; "'!$A:$A"), INDIRECT("'" &amp; $A15 &amp; "'!$C:$C"), 0)</f>
        <v>315</v>
      </c>
      <c r="AB15" cm="1">
        <f t="array" aca="1" ref="AB15" ca="1">_xlfn.XLOOKUP(AB$5, INDIRECT("'" &amp; $A15 &amp; "'!$A:$A"), INDIRECT("'" &amp; $A15 &amp; "'!$C:$C"), 0)</f>
        <v>453</v>
      </c>
      <c r="AC15" cm="1">
        <f t="array" aca="1" ref="AC15" ca="1">_xlfn.XLOOKUP(AC$5, INDIRECT("'" &amp; $A15 &amp; "'!$A:$A"), INDIRECT("'" &amp; $A15 &amp; "'!$C:$C"), 0)</f>
        <v>9</v>
      </c>
      <c r="AD15" cm="1">
        <f t="array" aca="1" ref="AD15" ca="1">_xlfn.XLOOKUP(AD$5, INDIRECT("'" &amp; $A15 &amp; "'!$A:$A"), INDIRECT("'" &amp; $A15 &amp; "'!$C:$C"), 0)</f>
        <v>68</v>
      </c>
      <c r="AE15" cm="1">
        <f t="array" aca="1" ref="AE15" ca="1">_xlfn.XLOOKUP(AE$5, INDIRECT("'" &amp; $A15 &amp; "'!$A:$A"), INDIRECT("'" &amp; $A15 &amp; "'!$C:$C"), 0)</f>
        <v>165</v>
      </c>
      <c r="AF15" cm="1">
        <f t="array" aca="1" ref="AF15" ca="1">_xlfn.XLOOKUP(AF$5, INDIRECT("'" &amp; $A15 &amp; "'!$A:$A"), INDIRECT("'" &amp; $A15 &amp; "'!$C:$C"), 0)</f>
        <v>798</v>
      </c>
      <c r="AG15" cm="1">
        <f t="array" aca="1" ref="AG15" ca="1">_xlfn.XLOOKUP(AG$5, INDIRECT("'" &amp; $A15 &amp; "'!$A:$A"), INDIRECT("'" &amp; $A15 &amp; "'!$C:$C"), 0)</f>
        <v>49</v>
      </c>
      <c r="AH15" cm="1">
        <f t="array" aca="1" ref="AH15" ca="1">_xlfn.XLOOKUP(AH$5, INDIRECT("'" &amp; $A15 &amp; "'!$A:$A"), INDIRECT("'" &amp; $A15 &amp; "'!$C:$C"), 0)</f>
        <v>153</v>
      </c>
      <c r="AI15" cm="1">
        <f t="array" aca="1" ref="AI15" ca="1">_xlfn.XLOOKUP(AI$5, INDIRECT("'" &amp; $A15 &amp; "'!$A:$A"), INDIRECT("'" &amp; $A15 &amp; "'!$C:$C"), 0)</f>
        <v>116</v>
      </c>
      <c r="AJ15" cm="1">
        <f t="array" aca="1" ref="AJ15" ca="1">_xlfn.XLOOKUP(AJ$5, INDIRECT("'" &amp; $A15 &amp; "'!$A:$A"), INDIRECT("'" &amp; $A15 &amp; "'!$C:$C"), 0)</f>
        <v>595</v>
      </c>
      <c r="AK15" cm="1">
        <f t="array" aca="1" ref="AK15" ca="1">_xlfn.XLOOKUP(AK$5, INDIRECT("'" &amp; $A15 &amp; "'!$A:$A"), INDIRECT("'" &amp; $A15 &amp; "'!$C:$C"), 0)</f>
        <v>252</v>
      </c>
      <c r="AL15" cm="1">
        <f t="array" aca="1" ref="AL15" ca="1">_xlfn.XLOOKUP(AL$5, INDIRECT("'" &amp; $A15 &amp; "'!$A:$A"), INDIRECT("'" &amp; $A15 &amp; "'!$C:$C"), 0)</f>
        <v>924</v>
      </c>
      <c r="AM15" cm="1">
        <f t="array" aca="1" ref="AM15" ca="1">_xlfn.XLOOKUP(AM$5, INDIRECT("'" &amp; $A15 &amp; "'!$A:$A"), INDIRECT("'" &amp; $A15 &amp; "'!$C:$C"), 0)</f>
        <v>1251</v>
      </c>
      <c r="AN15" cm="1">
        <f t="array" aca="1" ref="AN15" ca="1">_xlfn.XLOOKUP(AN$5, INDIRECT("'" &amp; $A15 &amp; "'!$A:$A"), INDIRECT("'" &amp; $A15 &amp; "'!$C:$C"), 0)</f>
        <v>730</v>
      </c>
      <c r="AO15" cm="1">
        <f t="array" aca="1" ref="AO15" ca="1">_xlfn.XLOOKUP(AO$5, INDIRECT("'" &amp; $A15 &amp; "'!$A:$A"), INDIRECT("'" &amp; $A15 &amp; "'!$C:$C"), 0)</f>
        <v>325</v>
      </c>
      <c r="AP15" cm="1">
        <f t="array" aca="1" ref="AP15" ca="1">_xlfn.XLOOKUP(AP$5, INDIRECT("'" &amp; $A15 &amp; "'!$A:$A"), INDIRECT("'" &amp; $A15 &amp; "'!$C:$C"), 0)</f>
        <v>1329</v>
      </c>
      <c r="AQ15" cm="1">
        <f t="array" aca="1" ref="AQ15" ca="1">_xlfn.XLOOKUP(AQ$5, INDIRECT("'" &amp; $A15 &amp; "'!$A:$A"), INDIRECT("'" &amp; $A15 &amp; "'!$C:$C"), 0)</f>
        <v>977</v>
      </c>
      <c r="AR15" cm="1">
        <f t="array" aca="1" ref="AR15" ca="1">_xlfn.XLOOKUP(AR$5, INDIRECT("'" &amp; $A15 &amp; "'!$A:$A"), INDIRECT("'" &amp; $A15 &amp; "'!$C:$C"), 0)</f>
        <v>88</v>
      </c>
      <c r="AS15" cm="1">
        <f t="array" aca="1" ref="AS15" ca="1">_xlfn.XLOOKUP(AS$5, INDIRECT("'" &amp; $A15 &amp; "'!$A:$A"), INDIRECT("'" &amp; $A15 &amp; "'!$C:$C"), 0)</f>
        <v>92</v>
      </c>
      <c r="AT15" cm="1">
        <f t="array" aca="1" ref="AT15" ca="1">_xlfn.XLOOKUP(AT$5, INDIRECT("'" &amp; $A15 &amp; "'!$A:$A"), INDIRECT("'" &amp; $A15 &amp; "'!$C:$C"), 0)</f>
        <v>428</v>
      </c>
      <c r="AU15" cm="1">
        <f t="array" aca="1" ref="AU15" ca="1">_xlfn.XLOOKUP(AU$5, INDIRECT("'" &amp; $A15 &amp; "'!$A:$A"), INDIRECT("'" &amp; $A15 &amp; "'!$C:$C"), 0)</f>
        <v>43</v>
      </c>
      <c r="AV15" cm="1">
        <f t="array" aca="1" ref="AV15" ca="1">_xlfn.XLOOKUP(AV$5, INDIRECT("'" &amp; $A15 &amp; "'!$A:$A"), INDIRECT("'" &amp; $A15 &amp; "'!$C:$C"), 0)</f>
        <v>570</v>
      </c>
      <c r="AW15" cm="1">
        <f t="array" aca="1" ref="AW15" ca="1">_xlfn.XLOOKUP(AW$5, INDIRECT("'" &amp; $A15 &amp; "'!$A:$A"), INDIRECT("'" &amp; $A15 &amp; "'!$C:$C"), 0)</f>
        <v>1948</v>
      </c>
      <c r="AX15" cm="1">
        <f t="array" aca="1" ref="AX15" ca="1">_xlfn.XLOOKUP(AX$5, INDIRECT("'" &amp; $A15 &amp; "'!$A:$A"), INDIRECT("'" &amp; $A15 &amp; "'!$C:$C"), 0)</f>
        <v>114</v>
      </c>
      <c r="AY15" cm="1">
        <f t="array" aca="1" ref="AY15" ca="1">_xlfn.XLOOKUP(AY$5, INDIRECT("'" &amp; $A15 &amp; "'!$A:$A"), INDIRECT("'" &amp; $A15 &amp; "'!$C:$C"), 0)</f>
        <v>395</v>
      </c>
      <c r="AZ15" cm="1">
        <f t="array" aca="1" ref="AZ15" ca="1">_xlfn.XLOOKUP(AZ$5, INDIRECT("'" &amp; $A15 &amp; "'!$A:$A"), INDIRECT("'" &amp; $A15 &amp; "'!$C:$C"), 0)</f>
        <v>13</v>
      </c>
      <c r="BA15" cm="1">
        <f t="array" aca="1" ref="BA15" ca="1">_xlfn.XLOOKUP(BA$5, INDIRECT("'" &amp; $A15 &amp; "'!$A:$A"), INDIRECT("'" &amp; $A15 &amp; "'!$C:$C"), 0)</f>
        <v>71</v>
      </c>
      <c r="BB15" cm="1">
        <f t="array" aca="1" ref="BB15" ca="1">_xlfn.XLOOKUP(BB$5, INDIRECT("'" &amp; $A15 &amp; "'!$A:$A"), INDIRECT("'" &amp; $A15 &amp; "'!$C:$C"), 0)</f>
        <v>1607</v>
      </c>
      <c r="BC15" cm="1">
        <f t="array" aca="1" ref="BC15" ca="1">_xlfn.XLOOKUP(BC$5, INDIRECT("'" &amp; $A15 &amp; "'!$A:$A"), INDIRECT("'" &amp; $A15 &amp; "'!$C:$C"), 0)</f>
        <v>337</v>
      </c>
      <c r="BD15" cm="1">
        <f t="array" aca="1" ref="BD15" ca="1">_xlfn.XLOOKUP(BD$5, INDIRECT("'" &amp; $A15 &amp; "'!$A:$A"), INDIRECT("'" &amp; $A15 &amp; "'!$C:$C"), 0)</f>
        <v>104</v>
      </c>
      <c r="BE15" cm="1">
        <f t="array" aca="1" ref="BE15" ca="1">_xlfn.XLOOKUP(BE$5, INDIRECT("'" &amp; $A15 &amp; "'!$A:$A"), INDIRECT("'" &amp; $A15 &amp; "'!$C:$C"), 0)</f>
        <v>51</v>
      </c>
    </row>
    <row r="16" spans="1:57" x14ac:dyDescent="0.25">
      <c r="A16">
        <v>2021</v>
      </c>
      <c r="B16" cm="1">
        <f t="array" aca="1" ref="B16" ca="1">_xlfn.XLOOKUP(B$5, INDIRECT("'" &amp; $A16 &amp; "'!$A:$A"), INDIRECT("'" &amp; $A16 &amp; "'!$C:$C"), 0)</f>
        <v>36</v>
      </c>
      <c r="C16" cm="1">
        <f t="array" aca="1" ref="C16" ca="1">_xlfn.XLOOKUP(C$5, INDIRECT("'" &amp; $A16 &amp; "'!$A:$A"), INDIRECT("'" &amp; $A16 &amp; "'!$C:$C"), 0)</f>
        <v>241</v>
      </c>
      <c r="D16" cm="1">
        <f t="array" aca="1" ref="D16" ca="1">_xlfn.XLOOKUP(D$5, INDIRECT("'" &amp; $A16 &amp; "'!$A:$A"), INDIRECT("'" &amp; $A16 &amp; "'!$C:$C"), 0)</f>
        <v>102</v>
      </c>
      <c r="E16" t="str" cm="1">
        <f t="array" aca="1" ref="E16" ca="1">_xlfn.XLOOKUP(E$5, INDIRECT("'" &amp; $A16 &amp; "'!$A:$A"), INDIRECT("'" &amp; $A16 &amp; "'!$C:$C"), 0)</f>
        <v>.</v>
      </c>
      <c r="F16" cm="1">
        <f t="array" aca="1" ref="F16" ca="1">_xlfn.XLOOKUP(F$5, INDIRECT("'" &amp; $A16 &amp; "'!$A:$A"), INDIRECT("'" &amp; $A16 &amp; "'!$C:$C"), 0)</f>
        <v>637</v>
      </c>
      <c r="G16" cm="1">
        <f t="array" aca="1" ref="G16" ca="1">_xlfn.XLOOKUP(G$5, INDIRECT("'" &amp; $A16 &amp; "'!$A:$A"), INDIRECT("'" &amp; $A16 &amp; "'!$C:$C"), 0)</f>
        <v>3351</v>
      </c>
      <c r="H16" cm="1">
        <f t="array" aca="1" ref="H16" ca="1">_xlfn.XLOOKUP(H$5, INDIRECT("'" &amp; $A16 &amp; "'!$A:$A"), INDIRECT("'" &amp; $A16 &amp; "'!$C:$C"), 0)</f>
        <v>642</v>
      </c>
      <c r="I16" cm="1">
        <f t="array" aca="1" ref="I16" ca="1">_xlfn.XLOOKUP(I$5, INDIRECT("'" &amp; $A16 &amp; "'!$A:$A"), INDIRECT("'" &amp; $A16 &amp; "'!$C:$C"), 0)</f>
        <v>125</v>
      </c>
      <c r="J16" cm="1">
        <f t="array" aca="1" ref="J16" ca="1">_xlfn.XLOOKUP(J$5, INDIRECT("'" &amp; $A16 &amp; "'!$A:$A"), INDIRECT("'" &amp; $A16 &amp; "'!$C:$C"), 0)</f>
        <v>187</v>
      </c>
      <c r="K16" cm="1">
        <f t="array" aca="1" ref="K16" ca="1">_xlfn.XLOOKUP(K$5, INDIRECT("'" &amp; $A16 &amp; "'!$A:$A"), INDIRECT("'" &amp; $A16 &amp; "'!$C:$C"), 0)</f>
        <v>74</v>
      </c>
      <c r="L16" cm="1">
        <f t="array" aca="1" ref="L16" ca="1">_xlfn.XLOOKUP(L$5, INDIRECT("'" &amp; $A16 &amp; "'!$A:$A"), INDIRECT("'" &amp; $A16 &amp; "'!$C:$C"), 0)</f>
        <v>2011</v>
      </c>
      <c r="M16" cm="1">
        <f t="array" aca="1" ref="M16" ca="1">_xlfn.XLOOKUP(M$5, INDIRECT("'" &amp; $A16 &amp; "'!$A:$A"), INDIRECT("'" &amp; $A16 &amp; "'!$C:$C"), 0)</f>
        <v>297</v>
      </c>
      <c r="N16" cm="1">
        <f t="array" aca="1" ref="N16" ca="1">_xlfn.XLOOKUP(N$5, INDIRECT("'" &amp; $A16 &amp; "'!$A:$A"), INDIRECT("'" &amp; $A16 &amp; "'!$C:$C"), 0)</f>
        <v>12</v>
      </c>
      <c r="O16" cm="1">
        <f t="array" aca="1" ref="O16" ca="1">_xlfn.XLOOKUP(O$5, INDIRECT("'" &amp; $A16 &amp; "'!$A:$A"), INDIRECT("'" &amp; $A16 &amp; "'!$C:$C"), 0)</f>
        <v>153</v>
      </c>
      <c r="P16" cm="1">
        <f t="array" aca="1" ref="P16" ca="1">_xlfn.XLOOKUP(P$5, INDIRECT("'" &amp; $A16 &amp; "'!$A:$A"), INDIRECT("'" &amp; $A16 &amp; "'!$C:$C"), 0)</f>
        <v>120</v>
      </c>
      <c r="Q16" cm="1">
        <f t="array" aca="1" ref="Q16" ca="1">_xlfn.XLOOKUP(Q$5, INDIRECT("'" &amp; $A16 &amp; "'!$A:$A"), INDIRECT("'" &amp; $A16 &amp; "'!$C:$C"), 0)</f>
        <v>128</v>
      </c>
      <c r="R16" cm="1">
        <f t="array" aca="1" ref="R16" ca="1">_xlfn.XLOOKUP(R$5, INDIRECT("'" &amp; $A16 &amp; "'!$A:$A"), INDIRECT("'" &amp; $A16 &amp; "'!$C:$C"), 0)</f>
        <v>402</v>
      </c>
      <c r="S16" cm="1">
        <f t="array" aca="1" ref="S16" ca="1">_xlfn.XLOOKUP(S$5, INDIRECT("'" &amp; $A16 &amp; "'!$A:$A"), INDIRECT("'" &amp; $A16 &amp; "'!$C:$C"), 0)</f>
        <v>495</v>
      </c>
      <c r="T16" cm="1">
        <f t="array" aca="1" ref="T16" ca="1">_xlfn.XLOOKUP(T$5,INDIRECT("'"&amp;$A16&amp;"'!$A:$A"),INDIRECT("'"&amp;$A16&amp;"'!$C:$C"),_xlfn.XLOOKUP("KS*",INDIRECT("'"&amp;$A16&amp;"'!$A:$A"),INDIRECT("'"&amp;$A16&amp;"'!$C:$C")))</f>
        <v>216</v>
      </c>
      <c r="U16" cm="1">
        <f t="array" aca="1" ref="U16" ca="1">_xlfn.XLOOKUP(U$5, INDIRECT("'" &amp; $A16 &amp; "'!$A:$A"), INDIRECT("'" &amp; $A16 &amp; "'!$C:$C"), 0)</f>
        <v>266</v>
      </c>
      <c r="V16" cm="1">
        <f t="array" aca="1" ref="V16" ca="1">_xlfn.XLOOKUP(V$5, INDIRECT("'" &amp; $A16 &amp; "'!$A:$A"), INDIRECT("'" &amp; $A16 &amp; "'!$C:$C"), 0)</f>
        <v>266</v>
      </c>
      <c r="W16" cm="1">
        <f t="array" aca="1" ref="W16" ca="1">_xlfn.XLOOKUP(W$5, INDIRECT("'" &amp; $A16 &amp; "'!$A:$A"), INDIRECT("'" &amp; $A16 &amp; "'!$C:$C"), 0)</f>
        <v>534</v>
      </c>
      <c r="X16" cm="1">
        <f t="array" aca="1" ref="X16" ca="1">_xlfn.XLOOKUP(X$5, INDIRECT("'" &amp; $A16 &amp; "'!$A:$A"), INDIRECT("'" &amp; $A16 &amp; "'!$C:$C"), 0)</f>
        <v>281</v>
      </c>
      <c r="Y16" cm="1">
        <f t="array" aca="1" ref="Y16" ca="1">_xlfn.XLOOKUP(Y$5, INDIRECT("'" &amp; $A16 &amp; "'!$A:$A"), INDIRECT("'" &amp; $A16 &amp; "'!$C:$C"), 0)</f>
        <v>91</v>
      </c>
      <c r="Z16" cm="1">
        <f t="array" aca="1" ref="Z16" ca="1">_xlfn.XLOOKUP(Z$5, INDIRECT("'" &amp; $A16 &amp; "'!$A:$A"), INDIRECT("'" &amp; $A16 &amp; "'!$C:$C"), 0)</f>
        <v>498</v>
      </c>
      <c r="AA16" cm="1">
        <f t="array" aca="1" ref="AA16" ca="1">_xlfn.XLOOKUP(AA$5, INDIRECT("'" &amp; $A16 &amp; "'!$A:$A"), INDIRECT("'" &amp; $A16 &amp; "'!$C:$C"), 0)</f>
        <v>327</v>
      </c>
      <c r="AB16" cm="1">
        <f t="array" aca="1" ref="AB16" ca="1">_xlfn.XLOOKUP(AB$5, INDIRECT("'" &amp; $A16 &amp; "'!$A:$A"), INDIRECT("'" &amp; $A16 &amp; "'!$C:$C"), 0)</f>
        <v>352</v>
      </c>
      <c r="AC16" cm="1">
        <f t="array" aca="1" ref="AC16" ca="1">_xlfn.XLOOKUP(AC$5, INDIRECT("'" &amp; $A16 &amp; "'!$A:$A"), INDIRECT("'" &amp; $A16 &amp; "'!$C:$C"), 0)</f>
        <v>0</v>
      </c>
      <c r="AD16" cm="1">
        <f t="array" aca="1" ref="AD16" ca="1">_xlfn.XLOOKUP(AD$5, INDIRECT("'" &amp; $A16 &amp; "'!$A:$A"), INDIRECT("'" &amp; $A16 &amp; "'!$C:$C"), 0)</f>
        <v>31</v>
      </c>
      <c r="AE16" cm="1">
        <f t="array" aca="1" ref="AE16" ca="1">_xlfn.XLOOKUP(AE$5, INDIRECT("'" &amp; $A16 &amp; "'!$A:$A"), INDIRECT("'" &amp; $A16 &amp; "'!$C:$C"), 0)</f>
        <v>110</v>
      </c>
      <c r="AF16" cm="1">
        <f t="array" aca="1" ref="AF16" ca="1">_xlfn.XLOOKUP(AF$5, INDIRECT("'" &amp; $A16 &amp; "'!$A:$A"), INDIRECT("'" &amp; $A16 &amp; "'!$C:$C"), 0)</f>
        <v>706</v>
      </c>
      <c r="AG16" cm="1">
        <f t="array" aca="1" ref="AG16" ca="1">_xlfn.XLOOKUP(AG$5, INDIRECT("'" &amp; $A16 &amp; "'!$A:$A"), INDIRECT("'" &amp; $A16 &amp; "'!$C:$C"), 0)</f>
        <v>34</v>
      </c>
      <c r="AH16" cm="1">
        <f t="array" aca="1" ref="AH16" ca="1">_xlfn.XLOOKUP(AH$5, INDIRECT("'" &amp; $A16 &amp; "'!$A:$A"), INDIRECT("'" &amp; $A16 &amp; "'!$C:$C"), 0)</f>
        <v>129</v>
      </c>
      <c r="AI16" cm="1">
        <f t="array" aca="1" ref="AI16" ca="1">_xlfn.XLOOKUP(AI$5, INDIRECT("'" &amp; $A16 &amp; "'!$A:$A"), INDIRECT("'" &amp; $A16 &amp; "'!$C:$C"), 0)</f>
        <v>119</v>
      </c>
      <c r="AJ16" cm="1">
        <f t="array" aca="1" ref="AJ16" ca="1">_xlfn.XLOOKUP(AJ$5, INDIRECT("'" &amp; $A16 &amp; "'!$A:$A"), INDIRECT("'" &amp; $A16 &amp; "'!$C:$C"), 0)</f>
        <v>438</v>
      </c>
      <c r="AK16" cm="1">
        <f t="array" aca="1" ref="AK16" ca="1">_xlfn.XLOOKUP(AK$5, INDIRECT("'" &amp; $A16 &amp; "'!$A:$A"), INDIRECT("'" &amp; $A16 &amp; "'!$C:$C"), 0)</f>
        <v>169</v>
      </c>
      <c r="AL16" cm="1">
        <f t="array" aca="1" ref="AL16" ca="1">_xlfn.XLOOKUP(AL$5, INDIRECT("'" &amp; $A16 &amp; "'!$A:$A"), INDIRECT("'" &amp; $A16 &amp; "'!$C:$C"), 0)</f>
        <v>749</v>
      </c>
      <c r="AM16" cm="1">
        <f t="array" aca="1" ref="AM16" ca="1">_xlfn.XLOOKUP(AM$5, INDIRECT("'" &amp; $A16 &amp; "'!$A:$A"), INDIRECT("'" &amp; $A16 &amp; "'!$C:$C"), 0)</f>
        <v>1108</v>
      </c>
      <c r="AN16" cm="1">
        <f t="array" aca="1" ref="AN16" ca="1">_xlfn.XLOOKUP(AN$5, INDIRECT("'" &amp; $A16 &amp; "'!$A:$A"), INDIRECT("'" &amp; $A16 &amp; "'!$C:$C"), 0)</f>
        <v>505</v>
      </c>
      <c r="AO16" cm="1">
        <f t="array" aca="1" ref="AO16" ca="1">_xlfn.XLOOKUP(AO$5, INDIRECT("'" &amp; $A16 &amp; "'!$A:$A"), INDIRECT("'" &amp; $A16 &amp; "'!$C:$C"), 0)</f>
        <v>199</v>
      </c>
      <c r="AP16" cm="1">
        <f t="array" aca="1" ref="AP16" ca="1">_xlfn.XLOOKUP(AP$5, INDIRECT("'" &amp; $A16 &amp; "'!$A:$A"), INDIRECT("'" &amp; $A16 &amp; "'!$C:$C"), 0)</f>
        <v>1000</v>
      </c>
      <c r="AQ16" cm="1">
        <f t="array" aca="1" ref="AQ16" ca="1">_xlfn.XLOOKUP(AQ$5, INDIRECT("'" &amp; $A16 &amp; "'!$A:$A"), INDIRECT("'" &amp; $A16 &amp; "'!$C:$C"), 0)</f>
        <v>782</v>
      </c>
      <c r="AR16" cm="1">
        <f t="array" aca="1" ref="AR16" ca="1">_xlfn.XLOOKUP(AR$5, INDIRECT("'" &amp; $A16 &amp; "'!$A:$A"), INDIRECT("'" &amp; $A16 &amp; "'!$C:$C"), 0)</f>
        <v>5</v>
      </c>
      <c r="AS16" cm="1">
        <f t="array" aca="1" ref="AS16" ca="1">_xlfn.XLOOKUP(AS$5, INDIRECT("'" &amp; $A16 &amp; "'!$A:$A"), INDIRECT("'" &amp; $A16 &amp; "'!$C:$C"), 0)</f>
        <v>97</v>
      </c>
      <c r="AT16" cm="1">
        <f t="array" aca="1" ref="AT16" ca="1">_xlfn.XLOOKUP(AT$5, INDIRECT("'" &amp; $A16 &amp; "'!$A:$A"), INDIRECT("'" &amp; $A16 &amp; "'!$C:$C"), 0)</f>
        <v>309</v>
      </c>
      <c r="AU16" cm="1">
        <f t="array" aca="1" ref="AU16" ca="1">_xlfn.XLOOKUP(AU$5, INDIRECT("'" &amp; $A16 &amp; "'!$A:$A"), INDIRECT("'" &amp; $A16 &amp; "'!$C:$C"), 0)</f>
        <v>31</v>
      </c>
      <c r="AV16" cm="1">
        <f t="array" aca="1" ref="AV16" ca="1">_xlfn.XLOOKUP(AV$5, INDIRECT("'" &amp; $A16 &amp; "'!$A:$A"), INDIRECT("'" &amp; $A16 &amp; "'!$C:$C"), 0)</f>
        <v>557</v>
      </c>
      <c r="AW16" cm="1">
        <f t="array" aca="1" ref="AW16" ca="1">_xlfn.XLOOKUP(AW$5, INDIRECT("'" &amp; $A16 &amp; "'!$A:$A"), INDIRECT("'" &amp; $A16 &amp; "'!$C:$C"), 0)</f>
        <v>1279</v>
      </c>
      <c r="AX16" cm="1">
        <f t="array" aca="1" ref="AX16" ca="1">_xlfn.XLOOKUP(AX$5, INDIRECT("'" &amp; $A16 &amp; "'!$A:$A"), INDIRECT("'" &amp; $A16 &amp; "'!$C:$C"), 0)</f>
        <v>129</v>
      </c>
      <c r="AY16" cm="1">
        <f t="array" aca="1" ref="AY16" ca="1">_xlfn.XLOOKUP(AY$5, INDIRECT("'" &amp; $A16 &amp; "'!$A:$A"), INDIRECT("'" &amp; $A16 &amp; "'!$C:$C"), 0)</f>
        <v>348</v>
      </c>
      <c r="AZ16" cm="1">
        <f t="array" aca="1" ref="AZ16" ca="1">_xlfn.XLOOKUP(AZ$5, INDIRECT("'" &amp; $A16 &amp; "'!$A:$A"), INDIRECT("'" &amp; $A16 &amp; "'!$C:$C"), 0)</f>
        <v>6</v>
      </c>
      <c r="BA16" cm="1">
        <f t="array" aca="1" ref="BA16" ca="1">_xlfn.XLOOKUP(BA$5, INDIRECT("'" &amp; $A16 &amp; "'!$A:$A"), INDIRECT("'" &amp; $A16 &amp; "'!$C:$C"), 0)</f>
        <v>103</v>
      </c>
      <c r="BB16" cm="1">
        <f t="array" aca="1" ref="BB16" ca="1">_xlfn.XLOOKUP(BB$5, INDIRECT("'" &amp; $A16 &amp; "'!$A:$A"), INDIRECT("'" &amp; $A16 &amp; "'!$C:$C"), 0)</f>
        <v>832</v>
      </c>
      <c r="BC16" cm="1">
        <f t="array" aca="1" ref="BC16" ca="1">_xlfn.XLOOKUP(BC$5, INDIRECT("'" &amp; $A16 &amp; "'!$A:$A"), INDIRECT("'" &amp; $A16 &amp; "'!$C:$C"), 0)</f>
        <v>297</v>
      </c>
      <c r="BD16" cm="1">
        <f t="array" aca="1" ref="BD16" ca="1">_xlfn.XLOOKUP(BD$5, INDIRECT("'" &amp; $A16 &amp; "'!$A:$A"), INDIRECT("'" &amp; $A16 &amp; "'!$C:$C"), 0)</f>
        <v>95</v>
      </c>
      <c r="BE16" cm="1">
        <f t="array" aca="1" ref="BE16" ca="1">_xlfn.XLOOKUP(BE$5, INDIRECT("'" &amp; $A16 &amp; "'!$A:$A"), INDIRECT("'" &amp; $A16 &amp; "'!$C:$C"), 0)</f>
        <v>19</v>
      </c>
    </row>
    <row r="17" spans="1:57" x14ac:dyDescent="0.25">
      <c r="A17">
        <v>2022</v>
      </c>
      <c r="B17" cm="1">
        <f t="array" aca="1" ref="B17" ca="1">_xlfn.XLOOKUP(B$5, INDIRECT("'" &amp; $A17 &amp; "'!$A:$A"), INDIRECT("'" &amp; $A17 &amp; "'!$C:$C"), 0)</f>
        <v>134</v>
      </c>
      <c r="C17" cm="1">
        <f t="array" aca="1" ref="C17" ca="1">_xlfn.XLOOKUP(C$5, INDIRECT("'" &amp; $A17 &amp; "'!$A:$A"), INDIRECT("'" &amp; $A17 &amp; "'!$C:$C"), 0)</f>
        <v>308</v>
      </c>
      <c r="D17" cm="1">
        <f t="array" aca="1" ref="D17" ca="1">_xlfn.XLOOKUP(D$5, INDIRECT("'" &amp; $A17 &amp; "'!$A:$A"), INDIRECT("'" &amp; $A17 &amp; "'!$C:$C"), 0)</f>
        <v>92</v>
      </c>
      <c r="E17" t="str" cm="1">
        <f t="array" aca="1" ref="E17" ca="1">_xlfn.XLOOKUP(E$5, INDIRECT("'" &amp; $A17 &amp; "'!$A:$A"), INDIRECT("'" &amp; $A17 &amp; "'!$C:$C"), 0)</f>
        <v>.</v>
      </c>
      <c r="F17" cm="1">
        <f t="array" aca="1" ref="F17" ca="1">_xlfn.XLOOKUP(F$5, INDIRECT("'" &amp; $A17 &amp; "'!$A:$A"), INDIRECT("'" &amp; $A17 &amp; "'!$C:$C"), 0)</f>
        <v>857</v>
      </c>
      <c r="G17" cm="1">
        <f t="array" aca="1" ref="G17" ca="1">_xlfn.XLOOKUP(G$5, INDIRECT("'" &amp; $A17 &amp; "'!$A:$A"), INDIRECT("'" &amp; $A17 &amp; "'!$C:$C"), 0)</f>
        <v>10395</v>
      </c>
      <c r="H17" cm="1">
        <f t="array" aca="1" ref="H17" ca="1">_xlfn.XLOOKUP(H$5, INDIRECT("'" &amp; $A17 &amp; "'!$A:$A"), INDIRECT("'" &amp; $A17 &amp; "'!$C:$C"), 0)</f>
        <v>738</v>
      </c>
      <c r="I17" cm="1">
        <f t="array" aca="1" ref="I17" ca="1">_xlfn.XLOOKUP(I$5, INDIRECT("'" &amp; $A17 &amp; "'!$A:$A"), INDIRECT("'" &amp; $A17 &amp; "'!$C:$C"), 0)</f>
        <v>149</v>
      </c>
      <c r="J17" cm="1">
        <f t="array" aca="1" ref="J17" ca="1">_xlfn.XLOOKUP(J$5, INDIRECT("'" &amp; $A17 &amp; "'!$A:$A"), INDIRECT("'" &amp; $A17 &amp; "'!$C:$C"), 0)</f>
        <v>208</v>
      </c>
      <c r="K17" cm="1">
        <f t="array" aca="1" ref="K17" ca="1">_xlfn.XLOOKUP(K$5, INDIRECT("'" &amp; $A17 &amp; "'!$A:$A"), INDIRECT("'" &amp; $A17 &amp; "'!$C:$C"), 0)</f>
        <v>93</v>
      </c>
      <c r="L17" cm="1">
        <f t="array" aca="1" ref="L17" ca="1">_xlfn.XLOOKUP(L$5, INDIRECT("'" &amp; $A17 &amp; "'!$A:$A"), INDIRECT("'" &amp; $A17 &amp; "'!$C:$C"), 0)</f>
        <v>2279</v>
      </c>
      <c r="M17" cm="1">
        <f t="array" aca="1" ref="M17" ca="1">_xlfn.XLOOKUP(M$5, INDIRECT("'" &amp; $A17 &amp; "'!$A:$A"), INDIRECT("'" &amp; $A17 &amp; "'!$C:$C"), 0)</f>
        <v>664</v>
      </c>
      <c r="N17" cm="1">
        <f t="array" aca="1" ref="N17" ca="1">_xlfn.XLOOKUP(N$5, INDIRECT("'" &amp; $A17 &amp; "'!$A:$A"), INDIRECT("'" &amp; $A17 &amp; "'!$C:$C"), 0)</f>
        <v>31</v>
      </c>
      <c r="O17" cm="1">
        <f t="array" aca="1" ref="O17" ca="1">_xlfn.XLOOKUP(O$5, INDIRECT("'" &amp; $A17 &amp; "'!$A:$A"), INDIRECT("'" &amp; $A17 &amp; "'!$C:$C"), 0)</f>
        <v>306</v>
      </c>
      <c r="P17" cm="1">
        <f t="array" aca="1" ref="P17" ca="1">_xlfn.XLOOKUP(P$5, INDIRECT("'" &amp; $A17 &amp; "'!$A:$A"), INDIRECT("'" &amp; $A17 &amp; "'!$C:$C"), 0)</f>
        <v>141</v>
      </c>
      <c r="Q17" cm="1">
        <f t="array" aca="1" ref="Q17" ca="1">_xlfn.XLOOKUP(Q$5, INDIRECT("'" &amp; $A17 &amp; "'!$A:$A"), INDIRECT("'" &amp; $A17 &amp; "'!$C:$C"), 0)</f>
        <v>149</v>
      </c>
      <c r="R17" cm="1">
        <f t="array" aca="1" ref="R17" ca="1">_xlfn.XLOOKUP(R$5, INDIRECT("'" &amp; $A17 &amp; "'!$A:$A"), INDIRECT("'" &amp; $A17 &amp; "'!$C:$C"), 0)</f>
        <v>524</v>
      </c>
      <c r="S17" cm="1">
        <f t="array" aca="1" ref="S17" ca="1">_xlfn.XLOOKUP(S$5, INDIRECT("'" &amp; $A17 &amp; "'!$A:$A"), INDIRECT("'" &amp; $A17 &amp; "'!$C:$C"), 0)</f>
        <v>482</v>
      </c>
      <c r="T17" cm="1">
        <f t="array" aca="1" ref="T17" ca="1">_xlfn.XLOOKUP(T$5,INDIRECT("'"&amp;$A17&amp;"'!$A:$A"),INDIRECT("'"&amp;$A17&amp;"'!$C:$C"),_xlfn.XLOOKUP("KS*",INDIRECT("'"&amp;$A17&amp;"'!$A:$A"),INDIRECT("'"&amp;$A17&amp;"'!$C:$C")))</f>
        <v>218</v>
      </c>
      <c r="U17" cm="1">
        <f t="array" aca="1" ref="U17" ca="1">_xlfn.XLOOKUP(U$5, INDIRECT("'" &amp; $A17 &amp; "'!$A:$A"), INDIRECT("'" &amp; $A17 &amp; "'!$C:$C"), 0)</f>
        <v>328</v>
      </c>
      <c r="V17" cm="1">
        <f t="array" aca="1" ref="V17" ca="1">_xlfn.XLOOKUP(V$5, INDIRECT("'" &amp; $A17 &amp; "'!$A:$A"), INDIRECT("'" &amp; $A17 &amp; "'!$C:$C"), 0)</f>
        <v>322</v>
      </c>
      <c r="W17" cm="1">
        <f t="array" aca="1" ref="W17" ca="1">_xlfn.XLOOKUP(W$5, INDIRECT("'" &amp; $A17 &amp; "'!$A:$A"), INDIRECT("'" &amp; $A17 &amp; "'!$C:$C"), 0)</f>
        <v>534</v>
      </c>
      <c r="X17" cm="1">
        <f t="array" aca="1" ref="X17" ca="1">_xlfn.XLOOKUP(X$5, INDIRECT("'" &amp; $A17 &amp; "'!$A:$A"), INDIRECT("'" &amp; $A17 &amp; "'!$C:$C"), 0)</f>
        <v>303</v>
      </c>
      <c r="Y17" cm="1">
        <f t="array" aca="1" ref="Y17" ca="1">_xlfn.XLOOKUP(Y$5, INDIRECT("'" &amp; $A17 &amp; "'!$A:$A"), INDIRECT("'" &amp; $A17 &amp; "'!$C:$C"), 0)</f>
        <v>243</v>
      </c>
      <c r="Z17" cm="1">
        <f t="array" aca="1" ref="Z17" ca="1">_xlfn.XLOOKUP(Z$5, INDIRECT("'" &amp; $A17 &amp; "'!$A:$A"), INDIRECT("'" &amp; $A17 &amp; "'!$C:$C"), 0)</f>
        <v>498</v>
      </c>
      <c r="AA17" cm="1">
        <f t="array" aca="1" ref="AA17" ca="1">_xlfn.XLOOKUP(AA$5, INDIRECT("'" &amp; $A17 &amp; "'!$A:$A"), INDIRECT("'" &amp; $A17 &amp; "'!$C:$C"), 0)</f>
        <v>290</v>
      </c>
      <c r="AB17" cm="1">
        <f t="array" aca="1" ref="AB17" ca="1">_xlfn.XLOOKUP(AB$5, INDIRECT("'" &amp; $A17 &amp; "'!$A:$A"), INDIRECT("'" &amp; $A17 &amp; "'!$C:$C"), 0)</f>
        <v>476</v>
      </c>
      <c r="AC17" cm="1">
        <f t="array" aca="1" ref="AC17" ca="1">_xlfn.XLOOKUP(AC$5, INDIRECT("'" &amp; $A17 &amp; "'!$A:$A"), INDIRECT("'" &amp; $A17 &amp; "'!$C:$C"), 0)</f>
        <v>9</v>
      </c>
      <c r="AD17" cm="1">
        <f t="array" aca="1" ref="AD17" ca="1">_xlfn.XLOOKUP(AD$5, INDIRECT("'" &amp; $A17 &amp; "'!$A:$A"), INDIRECT("'" &amp; $A17 &amp; "'!$C:$C"), 0)</f>
        <v>139</v>
      </c>
      <c r="AE17" cm="1">
        <f t="array" aca="1" ref="AE17" ca="1">_xlfn.XLOOKUP(AE$5, INDIRECT("'" &amp; $A17 &amp; "'!$A:$A"), INDIRECT("'" &amp; $A17 &amp; "'!$C:$C"), 0)</f>
        <v>172</v>
      </c>
      <c r="AF17" cm="1">
        <f t="array" aca="1" ref="AF17" ca="1">_xlfn.XLOOKUP(AF$5, INDIRECT("'" &amp; $A17 &amp; "'!$A:$A"), INDIRECT("'" &amp; $A17 &amp; "'!$C:$C"), 0)</f>
        <v>687</v>
      </c>
      <c r="AG17" cm="1">
        <f t="array" aca="1" ref="AG17" ca="1">_xlfn.XLOOKUP(AG$5, INDIRECT("'" &amp; $A17 &amp; "'!$A:$A"), INDIRECT("'" &amp; $A17 &amp; "'!$C:$C"), 0)</f>
        <v>37</v>
      </c>
      <c r="AH17" cm="1">
        <f t="array" aca="1" ref="AH17" ca="1">_xlfn.XLOOKUP(AH$5, INDIRECT("'" &amp; $A17 &amp; "'!$A:$A"), INDIRECT("'" &amp; $A17 &amp; "'!$C:$C"), 0)</f>
        <v>145</v>
      </c>
      <c r="AI17" cm="1">
        <f t="array" aca="1" ref="AI17" ca="1">_xlfn.XLOOKUP(AI$5, INDIRECT("'" &amp; $A17 &amp; "'!$A:$A"), INDIRECT("'" &amp; $A17 &amp; "'!$C:$C"), 0)</f>
        <v>127</v>
      </c>
      <c r="AJ17" cm="1">
        <f t="array" aca="1" ref="AJ17" ca="1">_xlfn.XLOOKUP(AJ$5, INDIRECT("'" &amp; $A17 &amp; "'!$A:$A"), INDIRECT("'" &amp; $A17 &amp; "'!$C:$C"), 0)</f>
        <v>479</v>
      </c>
      <c r="AK17" cm="1">
        <f t="array" aca="1" ref="AK17" ca="1">_xlfn.XLOOKUP(AK$5, INDIRECT("'" &amp; $A17 &amp; "'!$A:$A"), INDIRECT("'" &amp; $A17 &amp; "'!$C:$C"), 0)</f>
        <v>91</v>
      </c>
      <c r="AL17" cm="1">
        <f t="array" aca="1" ref="AL17" ca="1">_xlfn.XLOOKUP(AL$5, INDIRECT("'" &amp; $A17 &amp; "'!$A:$A"), INDIRECT("'" &amp; $A17 &amp; "'!$C:$C"), 0)</f>
        <v>752</v>
      </c>
      <c r="AM17" cm="1">
        <f t="array" aca="1" ref="AM17" ca="1">_xlfn.XLOOKUP(AM$5, INDIRECT("'" &amp; $A17 &amp; "'!$A:$A"), INDIRECT("'" &amp; $A17 &amp; "'!$C:$C"), 0)</f>
        <v>990</v>
      </c>
      <c r="AN17" cm="1">
        <f t="array" aca="1" ref="AN17" ca="1">_xlfn.XLOOKUP(AN$5, INDIRECT("'" &amp; $A17 &amp; "'!$A:$A"), INDIRECT("'" &amp; $A17 &amp; "'!$C:$C"), 0)</f>
        <v>633</v>
      </c>
      <c r="AO17" cm="1">
        <f t="array" aca="1" ref="AO17" ca="1">_xlfn.XLOOKUP(AO$5, INDIRECT("'" &amp; $A17 &amp; "'!$A:$A"), INDIRECT("'" &amp; $A17 &amp; "'!$C:$C"), 0)</f>
        <v>273</v>
      </c>
      <c r="AP17" cm="1">
        <f t="array" aca="1" ref="AP17" ca="1">_xlfn.XLOOKUP(AP$5, INDIRECT("'" &amp; $A17 &amp; "'!$A:$A"), INDIRECT("'" &amp; $A17 &amp; "'!$C:$C"), 0)</f>
        <v>1460</v>
      </c>
      <c r="AQ17" cm="1">
        <f t="array" aca="1" ref="AQ17" ca="1">_xlfn.XLOOKUP(AQ$5, INDIRECT("'" &amp; $A17 &amp; "'!$A:$A"), INDIRECT("'" &amp; $A17 &amp; "'!$C:$C"), 0)</f>
        <v>778</v>
      </c>
      <c r="AR17" cm="1">
        <f t="array" aca="1" ref="AR17" ca="1">_xlfn.XLOOKUP(AR$5, INDIRECT("'" &amp; $A17 &amp; "'!$A:$A"), INDIRECT("'" &amp; $A17 &amp; "'!$C:$C"), 0)</f>
        <v>70</v>
      </c>
      <c r="AS17" cm="1">
        <f t="array" aca="1" ref="AS17" ca="1">_xlfn.XLOOKUP(AS$5, INDIRECT("'" &amp; $A17 &amp; "'!$A:$A"), INDIRECT("'" &amp; $A17 &amp; "'!$C:$C"), 0)</f>
        <v>113</v>
      </c>
      <c r="AT17" cm="1">
        <f t="array" aca="1" ref="AT17" ca="1">_xlfn.XLOOKUP(AT$5, INDIRECT("'" &amp; $A17 &amp; "'!$A:$A"), INDIRECT("'" &amp; $A17 &amp; "'!$C:$C"), 0)</f>
        <v>359</v>
      </c>
      <c r="AU17" cm="1">
        <f t="array" aca="1" ref="AU17" ca="1">_xlfn.XLOOKUP(AU$5, INDIRECT("'" &amp; $A17 &amp; "'!$A:$A"), INDIRECT("'" &amp; $A17 &amp; "'!$C:$C"), 0)</f>
        <v>40</v>
      </c>
      <c r="AV17" cm="1">
        <f t="array" aca="1" ref="AV17" ca="1">_xlfn.XLOOKUP(AV$5, INDIRECT("'" &amp; $A17 &amp; "'!$A:$A"), INDIRECT("'" &amp; $A17 &amp; "'!$C:$C"), 0)</f>
        <v>549</v>
      </c>
      <c r="AW17" cm="1">
        <f t="array" aca="1" ref="AW17" ca="1">_xlfn.XLOOKUP(AW$5, INDIRECT("'" &amp; $A17 &amp; "'!$A:$A"), INDIRECT("'" &amp; $A17 &amp; "'!$C:$C"), 0)</f>
        <v>1711</v>
      </c>
      <c r="AX17" cm="1">
        <f t="array" aca="1" ref="AX17" ca="1">_xlfn.XLOOKUP(AX$5, INDIRECT("'" &amp; $A17 &amp; "'!$A:$A"), INDIRECT("'" &amp; $A17 &amp; "'!$C:$C"), 0)</f>
        <v>155</v>
      </c>
      <c r="AY17" cm="1">
        <f t="array" aca="1" ref="AY17" ca="1">_xlfn.XLOOKUP(AY$5, INDIRECT("'" &amp; $A17 &amp; "'!$A:$A"), INDIRECT("'" &amp; $A17 &amp; "'!$C:$C"), 0)</f>
        <v>392</v>
      </c>
      <c r="AZ17" cm="1">
        <f t="array" aca="1" ref="AZ17" ca="1">_xlfn.XLOOKUP(AZ$5, INDIRECT("'" &amp; $A17 &amp; "'!$A:$A"), INDIRECT("'" &amp; $A17 &amp; "'!$C:$C"), 0)</f>
        <v>6</v>
      </c>
      <c r="BA17" cm="1">
        <f t="array" aca="1" ref="BA17" ca="1">_xlfn.XLOOKUP(BA$5, INDIRECT("'" &amp; $A17 &amp; "'!$A:$A"), INDIRECT("'" &amp; $A17 &amp; "'!$C:$C"), 0)</f>
        <v>100</v>
      </c>
      <c r="BB17" cm="1">
        <f t="array" aca="1" ref="BB17" ca="1">_xlfn.XLOOKUP(BB$5, INDIRECT("'" &amp; $A17 &amp; "'!$A:$A"), INDIRECT("'" &amp; $A17 &amp; "'!$C:$C"), 0)</f>
        <v>1569</v>
      </c>
      <c r="BC17" cm="1">
        <f t="array" aca="1" ref="BC17" ca="1">_xlfn.XLOOKUP(BC$5, INDIRECT("'" &amp; $A17 &amp; "'!$A:$A"), INDIRECT("'" &amp; $A17 &amp; "'!$C:$C"), 0)</f>
        <v>341</v>
      </c>
      <c r="BD17" cm="1">
        <f t="array" aca="1" ref="BD17" ca="1">_xlfn.XLOOKUP(BD$5, INDIRECT("'" &amp; $A17 &amp; "'!$A:$A"), INDIRECT("'" &amp; $A17 &amp; "'!$C:$C"), 0)</f>
        <v>122</v>
      </c>
      <c r="BE17" cm="1">
        <f t="array" aca="1" ref="BE17" ca="1">_xlfn.XLOOKUP(BE$5, INDIRECT("'" &amp; $A17 &amp; "'!$A:$A"), INDIRECT("'" &amp; $A17 &amp; "'!$C:$C"), 0)</f>
        <v>68</v>
      </c>
    </row>
    <row r="18" spans="1:57" x14ac:dyDescent="0.25">
      <c r="A18">
        <v>2023</v>
      </c>
      <c r="B18" cm="1">
        <f t="array" aca="1" ref="B18" ca="1">_xlfn.XLOOKUP(B$5, INDIRECT("'" &amp; $A18 &amp; "'!$A:$A"), INDIRECT("'" &amp; $A18 &amp; "'!$C:$C"), 0)</f>
        <v>119</v>
      </c>
      <c r="C18" cm="1">
        <f t="array" aca="1" ref="C18" ca="1">_xlfn.XLOOKUP(C$5, INDIRECT("'" &amp; $A18 &amp; "'!$A:$A"), INDIRECT("'" &amp; $A18 &amp; "'!$C:$C"), 0)</f>
        <v>291</v>
      </c>
      <c r="D18" cm="1">
        <f t="array" aca="1" ref="D18" ca="1">_xlfn.XLOOKUP(D$5, INDIRECT("'" &amp; $A18 &amp; "'!$A:$A"), INDIRECT("'" &amp; $A18 &amp; "'!$C:$C"), 0)</f>
        <v>205</v>
      </c>
      <c r="E18" t="str" cm="1">
        <f t="array" aca="1" ref="E18" ca="1">_xlfn.XLOOKUP(E$5, INDIRECT("'" &amp; $A18 &amp; "'!$A:$A"), INDIRECT("'" &amp; $A18 &amp; "'!$C:$C"), 0)</f>
        <v>.</v>
      </c>
      <c r="F18" cm="1">
        <f t="array" aca="1" ref="F18" ca="1">_xlfn.XLOOKUP(F$5, INDIRECT("'" &amp; $A18 &amp; "'!$A:$A"), INDIRECT("'" &amp; $A18 &amp; "'!$C:$C"), 0)</f>
        <v>932</v>
      </c>
      <c r="G18" cm="1">
        <f t="array" aca="1" ref="G18" ca="1">_xlfn.XLOOKUP(G$5, INDIRECT("'" &amp; $A18 &amp; "'!$A:$A"), INDIRECT("'" &amp; $A18 &amp; "'!$C:$C"), 0)</f>
        <v>10589</v>
      </c>
      <c r="H18" cm="1">
        <f t="array" aca="1" ref="H18" ca="1">_xlfn.XLOOKUP(H$5, INDIRECT("'" &amp; $A18 &amp; "'!$A:$A"), INDIRECT("'" &amp; $A18 &amp; "'!$C:$C"), 0)</f>
        <v>1022</v>
      </c>
      <c r="I18" cm="1">
        <f t="array" aca="1" ref="I18" ca="1">_xlfn.XLOOKUP(I$5, INDIRECT("'" &amp; $A18 &amp; "'!$A:$A"), INDIRECT("'" &amp; $A18 &amp; "'!$C:$C"), 0)</f>
        <v>165</v>
      </c>
      <c r="J18" cm="1">
        <f t="array" aca="1" ref="J18" ca="1">_xlfn.XLOOKUP(J$5, INDIRECT("'" &amp; $A18 &amp; "'!$A:$A"), INDIRECT("'" &amp; $A18 &amp; "'!$C:$C"), 0)</f>
        <v>218</v>
      </c>
      <c r="K18" cm="1">
        <f t="array" aca="1" ref="K18" ca="1">_xlfn.XLOOKUP(K$5, INDIRECT("'" &amp; $A18 &amp; "'!$A:$A"), INDIRECT("'" &amp; $A18 &amp; "'!$C:$C"), 0)</f>
        <v>79</v>
      </c>
      <c r="L18" cm="1">
        <f t="array" aca="1" ref="L18" ca="1">_xlfn.XLOOKUP(L$5, INDIRECT("'" &amp; $A18 &amp; "'!$A:$A"), INDIRECT("'" &amp; $A18 &amp; "'!$C:$C"), 0)</f>
        <v>2558</v>
      </c>
      <c r="M18" cm="1">
        <f t="array" aca="1" ref="M18" ca="1">_xlfn.XLOOKUP(M$5, INDIRECT("'" &amp; $A18 &amp; "'!$A:$A"), INDIRECT("'" &amp; $A18 &amp; "'!$C:$C"), 0)</f>
        <v>701</v>
      </c>
      <c r="N18" cm="1">
        <f t="array" aca="1" ref="N18" ca="1">_xlfn.XLOOKUP(N$5, INDIRECT("'" &amp; $A18 &amp; "'!$A:$A"), INDIRECT("'" &amp; $A18 &amp; "'!$C:$C"), 0)</f>
        <v>24</v>
      </c>
      <c r="O18" cm="1">
        <f t="array" aca="1" ref="O18" ca="1">_xlfn.XLOOKUP(O$5, INDIRECT("'" &amp; $A18 &amp; "'!$A:$A"), INDIRECT("'" &amp; $A18 &amp; "'!$C:$C"), 0)</f>
        <v>317</v>
      </c>
      <c r="P18" cm="1">
        <f t="array" aca="1" ref="P18" ca="1">_xlfn.XLOOKUP(P$5, INDIRECT("'" &amp; $A18 &amp; "'!$A:$A"), INDIRECT("'" &amp; $A18 &amp; "'!$C:$C"), 0)</f>
        <v>128</v>
      </c>
      <c r="Q18" cm="1">
        <f t="array" aca="1" ref="Q18" ca="1">_xlfn.XLOOKUP(Q$5, INDIRECT("'" &amp; $A18 &amp; "'!$A:$A"), INDIRECT("'" &amp; $A18 &amp; "'!$C:$C"), 0)</f>
        <v>182</v>
      </c>
      <c r="R18" cm="1">
        <f t="array" aca="1" ref="R18" ca="1">_xlfn.XLOOKUP(R$5, INDIRECT("'" &amp; $A18 &amp; "'!$A:$A"), INDIRECT("'" &amp; $A18 &amp; "'!$C:$C"), 0)</f>
        <v>523</v>
      </c>
      <c r="S18" cm="1">
        <f t="array" aca="1" ref="S18" ca="1">_xlfn.XLOOKUP(S$5, INDIRECT("'" &amp; $A18 &amp; "'!$A:$A"), INDIRECT("'" &amp; $A18 &amp; "'!$C:$C"), 0)</f>
        <v>488</v>
      </c>
      <c r="T18" cm="1">
        <f t="array" aca="1" ref="T18" ca="1">_xlfn.XLOOKUP(T$5,INDIRECT("'"&amp;$A18&amp;"'!$A:$A"),INDIRECT("'"&amp;$A18&amp;"'!$C:$C"),_xlfn.XLOOKUP("KS*",INDIRECT("'"&amp;$A18&amp;"'!$A:$A"),INDIRECT("'"&amp;$A18&amp;"'!$C:$C")))</f>
        <v>199</v>
      </c>
      <c r="U18" cm="1">
        <f t="array" aca="1" ref="U18" ca="1">_xlfn.XLOOKUP(U$5, INDIRECT("'" &amp; $A18 &amp; "'!$A:$A"), INDIRECT("'" &amp; $A18 &amp; "'!$C:$C"), 0)</f>
        <v>417</v>
      </c>
      <c r="V18" cm="1">
        <f t="array" aca="1" ref="V18" ca="1">_xlfn.XLOOKUP(V$5, INDIRECT("'" &amp; $A18 &amp; "'!$A:$A"), INDIRECT("'" &amp; $A18 &amp; "'!$C:$C"), 0)</f>
        <v>249</v>
      </c>
      <c r="W18" cm="1">
        <f t="array" aca="1" ref="W18" ca="1">_xlfn.XLOOKUP(W$5, INDIRECT("'" &amp; $A18 &amp; "'!$A:$A"), INDIRECT("'" &amp; $A18 &amp; "'!$C:$C"), 0)</f>
        <v>545</v>
      </c>
      <c r="X18" cm="1">
        <f t="array" aca="1" ref="X18" ca="1">_xlfn.XLOOKUP(X$5, INDIRECT("'" &amp; $A18 &amp; "'!$A:$A"), INDIRECT("'" &amp; $A18 &amp; "'!$C:$C"), 0)</f>
        <v>291</v>
      </c>
      <c r="Y18" cm="1">
        <f t="array" aca="1" ref="Y18" ca="1">_xlfn.XLOOKUP(Y$5, INDIRECT("'" &amp; $A18 &amp; "'!$A:$A"), INDIRECT("'" &amp; $A18 &amp; "'!$C:$C"), 0)</f>
        <v>123</v>
      </c>
      <c r="Z18" cm="1">
        <f t="array" aca="1" ref="Z18" ca="1">_xlfn.XLOOKUP(Z$5, INDIRECT("'" &amp; $A18 &amp; "'!$A:$A"), INDIRECT("'" &amp; $A18 &amp; "'!$C:$C"), 0)</f>
        <v>484</v>
      </c>
      <c r="AA18" cm="1">
        <f t="array" aca="1" ref="AA18" ca="1">_xlfn.XLOOKUP(AA$5, INDIRECT("'" &amp; $A18 &amp; "'!$A:$A"), INDIRECT("'" &amp; $A18 &amp; "'!$C:$C"), 0)</f>
        <v>336</v>
      </c>
      <c r="AB18" cm="1">
        <f t="array" aca="1" ref="AB18" ca="1">_xlfn.XLOOKUP(AB$5, INDIRECT("'" &amp; $A18 &amp; "'!$A:$A"), INDIRECT("'" &amp; $A18 &amp; "'!$C:$C"), 0)</f>
        <v>569</v>
      </c>
      <c r="AC18" t="str" cm="1">
        <f t="array" aca="1" ref="AC18" ca="1">_xlfn.XLOOKUP(AC$5, INDIRECT("'" &amp; $A18 &amp; "'!$A:$A"), INDIRECT("'" &amp; $A18 &amp; "'!$C:$C"), 0)</f>
        <v>.</v>
      </c>
      <c r="AD18" cm="1">
        <f t="array" aca="1" ref="AD18" ca="1">_xlfn.XLOOKUP(AD$5, INDIRECT("'" &amp; $A18 &amp; "'!$A:$A"), INDIRECT("'" &amp; $A18 &amp; "'!$C:$C"), 0)</f>
        <v>61</v>
      </c>
      <c r="AE18" cm="1">
        <f t="array" aca="1" ref="AE18" ca="1">_xlfn.XLOOKUP(AE$5, INDIRECT("'" &amp; $A18 &amp; "'!$A:$A"), INDIRECT("'" &amp; $A18 &amp; "'!$C:$C"), 0)</f>
        <v>207</v>
      </c>
      <c r="AF18" cm="1">
        <f t="array" aca="1" ref="AF18" ca="1">_xlfn.XLOOKUP(AF$5, INDIRECT("'" &amp; $A18 &amp; "'!$A:$A"), INDIRECT("'" &amp; $A18 &amp; "'!$C:$C"), 0)</f>
        <v>777</v>
      </c>
      <c r="AG18" cm="1">
        <f t="array" aca="1" ref="AG18" ca="1">_xlfn.XLOOKUP(AG$5, INDIRECT("'" &amp; $A18 &amp; "'!$A:$A"), INDIRECT("'" &amp; $A18 &amp; "'!$C:$C"), 0)</f>
        <v>27</v>
      </c>
      <c r="AH18" cm="1">
        <f t="array" aca="1" ref="AH18" ca="1">_xlfn.XLOOKUP(AH$5, INDIRECT("'" &amp; $A18 &amp; "'!$A:$A"), INDIRECT("'" &amp; $A18 &amp; "'!$C:$C"), 0)</f>
        <v>132</v>
      </c>
      <c r="AI18" cm="1">
        <f t="array" aca="1" ref="AI18" ca="1">_xlfn.XLOOKUP(AI$5, INDIRECT("'" &amp; $A18 &amp; "'!$A:$A"), INDIRECT("'" &amp; $A18 &amp; "'!$C:$C"), 0)</f>
        <v>100</v>
      </c>
      <c r="AJ18" cm="1">
        <f t="array" aca="1" ref="AJ18" ca="1">_xlfn.XLOOKUP(AJ$5, INDIRECT("'" &amp; $A18 &amp; "'!$A:$A"), INDIRECT("'" &amp; $A18 &amp; "'!$C:$C"), 0)</f>
        <v>454</v>
      </c>
      <c r="AK18" cm="1">
        <f t="array" aca="1" ref="AK18" ca="1">_xlfn.XLOOKUP(AK$5, INDIRECT("'" &amp; $A18 &amp; "'!$A:$A"), INDIRECT("'" &amp; $A18 &amp; "'!$C:$C"), 0)</f>
        <v>256</v>
      </c>
      <c r="AL18" cm="1">
        <f t="array" aca="1" ref="AL18" ca="1">_xlfn.XLOOKUP(AL$5, INDIRECT("'" &amp; $A18 &amp; "'!$A:$A"), INDIRECT("'" &amp; $A18 &amp; "'!$C:$C"), 0)</f>
        <v>1094</v>
      </c>
      <c r="AM18" cm="1">
        <f t="array" aca="1" ref="AM18" ca="1">_xlfn.XLOOKUP(AM$5, INDIRECT("'" &amp; $A18 &amp; "'!$A:$A"), INDIRECT("'" &amp; $A18 &amp; "'!$C:$C"), 0)</f>
        <v>1098</v>
      </c>
      <c r="AN18" cm="1">
        <f t="array" aca="1" ref="AN18" ca="1">_xlfn.XLOOKUP(AN$5, INDIRECT("'" &amp; $A18 &amp; "'!$A:$A"), INDIRECT("'" &amp; $A18 &amp; "'!$C:$C"), 0)</f>
        <v>623</v>
      </c>
      <c r="AO18" cm="1">
        <f t="array" aca="1" ref="AO18" ca="1">_xlfn.XLOOKUP(AO$5, INDIRECT("'" &amp; $A18 &amp; "'!$A:$A"), INDIRECT("'" &amp; $A18 &amp; "'!$C:$C"), 0)</f>
        <v>288</v>
      </c>
      <c r="AP18" cm="1">
        <f t="array" aca="1" ref="AP18" ca="1">_xlfn.XLOOKUP(AP$5, INDIRECT("'" &amp; $A18 &amp; "'!$A:$A"), INDIRECT("'" &amp; $A18 &amp; "'!$C:$C"), 0)</f>
        <v>1575</v>
      </c>
      <c r="AQ18" cm="1">
        <f t="array" aca="1" ref="AQ18" ca="1">_xlfn.XLOOKUP(AQ$5, INDIRECT("'" &amp; $A18 &amp; "'!$A:$A"), INDIRECT("'" &amp; $A18 &amp; "'!$C:$C"), 0)</f>
        <v>826</v>
      </c>
      <c r="AR18" cm="1">
        <f t="array" aca="1" ref="AR18" ca="1">_xlfn.XLOOKUP(AR$5, INDIRECT("'" &amp; $A18 &amp; "'!$A:$A"), INDIRECT("'" &amp; $A18 &amp; "'!$C:$C"), 0)</f>
        <v>58</v>
      </c>
      <c r="AS18" cm="1">
        <f t="array" aca="1" ref="AS18" ca="1">_xlfn.XLOOKUP(AS$5, INDIRECT("'" &amp; $A18 &amp; "'!$A:$A"), INDIRECT("'" &amp; $A18 &amp; "'!$C:$C"), 0)</f>
        <v>100</v>
      </c>
      <c r="AT18" cm="1">
        <f t="array" aca="1" ref="AT18" ca="1">_xlfn.XLOOKUP(AT$5, INDIRECT("'" &amp; $A18 &amp; "'!$A:$A"), INDIRECT("'" &amp; $A18 &amp; "'!$C:$C"), 0)</f>
        <v>393</v>
      </c>
      <c r="AU18" cm="1">
        <f t="array" aca="1" ref="AU18" ca="1">_xlfn.XLOOKUP(AU$5, INDIRECT("'" &amp; $A18 &amp; "'!$A:$A"), INDIRECT("'" &amp; $A18 &amp; "'!$C:$C"), 0)</f>
        <v>58</v>
      </c>
      <c r="AV18" cm="1">
        <f t="array" aca="1" ref="AV18" ca="1">_xlfn.XLOOKUP(AV$5, INDIRECT("'" &amp; $A18 &amp; "'!$A:$A"), INDIRECT("'" &amp; $A18 &amp; "'!$C:$C"), 0)</f>
        <v>759</v>
      </c>
      <c r="AW18" cm="1">
        <f t="array" aca="1" ref="AW18" ca="1">_xlfn.XLOOKUP(AW$5, INDIRECT("'" &amp; $A18 &amp; "'!$A:$A"), INDIRECT("'" &amp; $A18 &amp; "'!$C:$C"), 0)</f>
        <v>2036</v>
      </c>
      <c r="AX18" cm="1">
        <f t="array" aca="1" ref="AX18" ca="1">_xlfn.XLOOKUP(AX$5, INDIRECT("'" &amp; $A18 &amp; "'!$A:$A"), INDIRECT("'" &amp; $A18 &amp; "'!$C:$C"), 0)</f>
        <v>181</v>
      </c>
      <c r="AY18" cm="1">
        <f t="array" aca="1" ref="AY18" ca="1">_xlfn.XLOOKUP(AY$5, INDIRECT("'" &amp; $A18 &amp; "'!$A:$A"), INDIRECT("'" &amp; $A18 &amp; "'!$C:$C"), 0)</f>
        <v>386</v>
      </c>
      <c r="AZ18" cm="1">
        <f t="array" aca="1" ref="AZ18" ca="1">_xlfn.XLOOKUP(AZ$5, INDIRECT("'" &amp; $A18 &amp; "'!$A:$A"), INDIRECT("'" &amp; $A18 &amp; "'!$C:$C"), 0)</f>
        <v>9</v>
      </c>
      <c r="BA18" cm="1">
        <f t="array" aca="1" ref="BA18" ca="1">_xlfn.XLOOKUP(BA$5, INDIRECT("'" &amp; $A18 &amp; "'!$A:$A"), INDIRECT("'" &amp; $A18 &amp; "'!$C:$C"), 0)</f>
        <v>122</v>
      </c>
      <c r="BB18" cm="1">
        <f t="array" aca="1" ref="BB18" ca="1">_xlfn.XLOOKUP(BB$5, INDIRECT("'" &amp; $A18 &amp; "'!$A:$A"), INDIRECT("'" &amp; $A18 &amp; "'!$C:$C"), 0)</f>
        <v>1684</v>
      </c>
      <c r="BC18" cm="1">
        <f t="array" aca="1" ref="BC18" ca="1">_xlfn.XLOOKUP(BC$5, INDIRECT("'" &amp; $A18 &amp; "'!$A:$A"), INDIRECT("'" &amp; $A18 &amp; "'!$C:$C"), 0)</f>
        <v>335</v>
      </c>
      <c r="BD18" cm="1">
        <f t="array" aca="1" ref="BD18" ca="1">_xlfn.XLOOKUP(BD$5, INDIRECT("'" &amp; $A18 &amp; "'!$A:$A"), INDIRECT("'" &amp; $A18 &amp; "'!$C:$C"), 0)</f>
        <v>91</v>
      </c>
      <c r="BE18" cm="1">
        <f t="array" aca="1" ref="BE18" ca="1">_xlfn.XLOOKUP(BE$5, INDIRECT("'" &amp; $A18 &amp; "'!$A:$A"), INDIRECT("'" &amp; $A18 &amp; "'!$C:$C"), 0)</f>
        <v>90</v>
      </c>
    </row>
    <row r="19" spans="1:57" x14ac:dyDescent="0.25">
      <c r="A19">
        <v>2024</v>
      </c>
      <c r="B19" cm="1">
        <f t="array" aca="1" ref="B19" ca="1">_xlfn.XLOOKUP(B$5, INDIRECT("'" &amp; $A19 &amp; "'!$A:$A"), INDIRECT("'" &amp; $A19 &amp; "'!$C:$C"), 0)</f>
        <v>106</v>
      </c>
      <c r="C19" cm="1">
        <f t="array" aca="1" ref="C19" ca="1">_xlfn.XLOOKUP(C$5, INDIRECT("'" &amp; $A19 &amp; "'!$A:$A"), INDIRECT("'" &amp; $A19 &amp; "'!$C:$C"), 0)</f>
        <v>291</v>
      </c>
      <c r="D19" cm="1">
        <f t="array" aca="1" ref="D19" ca="1">_xlfn.XLOOKUP(D$5, INDIRECT("'" &amp; $A19 &amp; "'!$A:$A"), INDIRECT("'" &amp; $A19 &amp; "'!$C:$C"), 0)</f>
        <v>226</v>
      </c>
      <c r="E19" t="str" cm="1">
        <f t="array" aca="1" ref="E19" ca="1">_xlfn.XLOOKUP(E$5, INDIRECT("'" &amp; $A19 &amp; "'!$A:$A"), INDIRECT("'" &amp; $A19 &amp; "'!$C:$C"), 0)</f>
        <v>.</v>
      </c>
      <c r="F19" cm="1">
        <f t="array" aca="1" ref="F19" ca="1">_xlfn.XLOOKUP(F$5, INDIRECT("'" &amp; $A19 &amp; "'!$A:$A"), INDIRECT("'" &amp; $A19 &amp; "'!$C:$C"), 0)</f>
        <v>994</v>
      </c>
      <c r="G19" cm="1">
        <f t="array" aca="1" ref="G19" ca="1">_xlfn.XLOOKUP(G$5, INDIRECT("'" &amp; $A19 &amp; "'!$A:$A"), INDIRECT("'" &amp; $A19 &amp; "'!$C:$C"), 0)</f>
        <v>9310</v>
      </c>
      <c r="H19" cm="1">
        <f t="array" aca="1" ref="H19" ca="1">_xlfn.XLOOKUP(H$5, INDIRECT("'" &amp; $A19 &amp; "'!$A:$A"), INDIRECT("'" &amp; $A19 &amp; "'!$C:$C"), 0)</f>
        <v>978</v>
      </c>
      <c r="I19" cm="1">
        <f t="array" aca="1" ref="I19" ca="1">_xlfn.XLOOKUP(I$5, INDIRECT("'" &amp; $A19 &amp; "'!$A:$A"), INDIRECT("'" &amp; $A19 &amp; "'!$C:$C"), 0)</f>
        <v>174</v>
      </c>
      <c r="J19" cm="1">
        <f t="array" aca="1" ref="J19" ca="1">_xlfn.XLOOKUP(J$5, INDIRECT("'" &amp; $A19 &amp; "'!$A:$A"), INDIRECT("'" &amp; $A19 &amp; "'!$C:$C"), 0)</f>
        <v>213</v>
      </c>
      <c r="K19" cm="1">
        <f t="array" aca="1" ref="K19" ca="1">_xlfn.XLOOKUP(K$5, INDIRECT("'" &amp; $A19 &amp; "'!$A:$A"), INDIRECT("'" &amp; $A19 &amp; "'!$C:$C"), 0)</f>
        <v>89</v>
      </c>
      <c r="L19" cm="1">
        <f t="array" aca="1" ref="L19" ca="1">_xlfn.XLOOKUP(L$5, INDIRECT("'" &amp; $A19 &amp; "'!$A:$A"), INDIRECT("'" &amp; $A19 &amp; "'!$C:$C"), 0)</f>
        <v>2333</v>
      </c>
      <c r="M19" cm="1">
        <f t="array" aca="1" ref="M19" ca="1">_xlfn.XLOOKUP(M$5, INDIRECT("'" &amp; $A19 &amp; "'!$A:$A"), INDIRECT("'" &amp; $A19 &amp; "'!$C:$C"), 0)</f>
        <v>646</v>
      </c>
      <c r="N19" cm="1">
        <f t="array" aca="1" ref="N19" ca="1">_xlfn.XLOOKUP(N$5, INDIRECT("'" &amp; $A19 &amp; "'!$A:$A"), INDIRECT("'" &amp; $A19 &amp; "'!$C:$C"), 0)</f>
        <v>32</v>
      </c>
      <c r="O19" cm="1">
        <f t="array" aca="1" ref="O19" ca="1">_xlfn.XLOOKUP(O$5, INDIRECT("'" &amp; $A19 &amp; "'!$A:$A"), INDIRECT("'" &amp; $A19 &amp; "'!$C:$C"), 0)</f>
        <v>283</v>
      </c>
      <c r="P19" cm="1">
        <f t="array" aca="1" ref="P19" ca="1">_xlfn.XLOOKUP(P$5, INDIRECT("'" &amp; $A19 &amp; "'!$A:$A"), INDIRECT("'" &amp; $A19 &amp; "'!$C:$C"), 0)</f>
        <v>135</v>
      </c>
      <c r="Q19" cm="1">
        <f t="array" aca="1" ref="Q19" ca="1">_xlfn.XLOOKUP(Q$5, INDIRECT("'" &amp; $A19 &amp; "'!$A:$A"), INDIRECT("'" &amp; $A19 &amp; "'!$C:$C"), 0)</f>
        <v>209</v>
      </c>
      <c r="R19" cm="1">
        <f t="array" aca="1" ref="R19" ca="1">_xlfn.XLOOKUP(R$5, INDIRECT("'" &amp; $A19 &amp; "'!$A:$A"), INDIRECT("'" &amp; $A19 &amp; "'!$C:$C"), 0)</f>
        <v>559</v>
      </c>
      <c r="S19" cm="1">
        <f t="array" aca="1" ref="S19" ca="1">_xlfn.XLOOKUP(S$5, INDIRECT("'" &amp; $A19 &amp; "'!$A:$A"), INDIRECT("'" &amp; $A19 &amp; "'!$C:$C"), 0)</f>
        <v>422</v>
      </c>
      <c r="T19" cm="1">
        <f t="array" aca="1" ref="T19" ca="1">_xlfn.XLOOKUP(T$5,INDIRECT("'"&amp;$A19&amp;"'!$A:$A"),INDIRECT("'"&amp;$A19&amp;"'!$C:$C"),_xlfn.XLOOKUP("KS*",INDIRECT("'"&amp;$A19&amp;"'!$A:$A"),INDIRECT("'"&amp;$A19&amp;"'!$C:$C")))</f>
        <v>211</v>
      </c>
      <c r="U19" cm="1">
        <f t="array" aca="1" ref="U19" ca="1">_xlfn.XLOOKUP(U$5, INDIRECT("'" &amp; $A19 &amp; "'!$A:$A"), INDIRECT("'" &amp; $A19 &amp; "'!$C:$C"), 0)</f>
        <v>391</v>
      </c>
      <c r="V19" cm="1">
        <f t="array" aca="1" ref="V19" ca="1">_xlfn.XLOOKUP(V$5, INDIRECT("'" &amp; $A19 &amp; "'!$A:$A"), INDIRECT("'" &amp; $A19 &amp; "'!$C:$C"), 0)</f>
        <v>223</v>
      </c>
      <c r="W19" cm="1">
        <f t="array" aca="1" ref="W19" ca="1">_xlfn.XLOOKUP(W$5, INDIRECT("'" &amp; $A19 &amp; "'!$A:$A"), INDIRECT("'" &amp; $A19 &amp; "'!$C:$C"), 0)</f>
        <v>550</v>
      </c>
      <c r="X19" cm="1">
        <f t="array" aca="1" ref="X19" ca="1">_xlfn.XLOOKUP(X$5, INDIRECT("'" &amp; $A19 &amp; "'!$A:$A"), INDIRECT("'" &amp; $A19 &amp; "'!$C:$C"), 0)</f>
        <v>312</v>
      </c>
      <c r="Y19" cm="1">
        <f t="array" aca="1" ref="Y19" ca="1">_xlfn.XLOOKUP(Y$5, INDIRECT("'" &amp; $A19 &amp; "'!$A:$A"), INDIRECT("'" &amp; $A19 &amp; "'!$C:$C"), 0)</f>
        <v>115</v>
      </c>
      <c r="Z19" cm="1">
        <f t="array" aca="1" ref="Z19" ca="1">_xlfn.XLOOKUP(Z$5, INDIRECT("'" &amp; $A19 &amp; "'!$A:$A"), INDIRECT("'" &amp; $A19 &amp; "'!$C:$C"), 0)</f>
        <v>456</v>
      </c>
      <c r="AA19" cm="1">
        <f t="array" aca="1" ref="AA19" ca="1">_xlfn.XLOOKUP(AA$5, INDIRECT("'" &amp; $A19 &amp; "'!$A:$A"), INDIRECT("'" &amp; $A19 &amp; "'!$C:$C"), 0)</f>
        <v>299</v>
      </c>
      <c r="AB19" cm="1">
        <f t="array" aca="1" ref="AB19" ca="1">_xlfn.XLOOKUP(AB$5, INDIRECT("'" &amp; $A19 &amp; "'!$A:$A"), INDIRECT("'" &amp; $A19 &amp; "'!$C:$C"), 0)</f>
        <v>513</v>
      </c>
      <c r="AC19" t="str" cm="1">
        <f t="array" aca="1" ref="AC19" ca="1">_xlfn.XLOOKUP(AC$5, INDIRECT("'" &amp; $A19 &amp; "'!$A:$A"), INDIRECT("'" &amp; $A19 &amp; "'!$C:$C"), 0)</f>
        <v>.</v>
      </c>
      <c r="AD19" cm="1">
        <f t="array" aca="1" ref="AD19" ca="1">_xlfn.XLOOKUP(AD$5, INDIRECT("'" &amp; $A19 &amp; "'!$A:$A"), INDIRECT("'" &amp; $A19 &amp; "'!$C:$C"), 0)</f>
        <v>40</v>
      </c>
      <c r="AE19" cm="1">
        <f t="array" aca="1" ref="AE19" ca="1">_xlfn.XLOOKUP(AE$5, INDIRECT("'" &amp; $A19 &amp; "'!$A:$A"), INDIRECT("'" &amp; $A19 &amp; "'!$C:$C"), 0)</f>
        <v>168</v>
      </c>
      <c r="AF19" cm="1">
        <f t="array" aca="1" ref="AF19" ca="1">_xlfn.XLOOKUP(AF$5, INDIRECT("'" &amp; $A19 &amp; "'!$A:$A"), INDIRECT("'" &amp; $A19 &amp; "'!$C:$C"), 0)</f>
        <v>688</v>
      </c>
      <c r="AG19" cm="1">
        <f t="array" aca="1" ref="AG19" ca="1">_xlfn.XLOOKUP(AG$5, INDIRECT("'" &amp; $A19 &amp; "'!$A:$A"), INDIRECT("'" &amp; $A19 &amp; "'!$C:$C"), 0)</f>
        <v>44</v>
      </c>
      <c r="AH19" cm="1">
        <f t="array" aca="1" ref="AH19" ca="1">_xlfn.XLOOKUP(AH$5, INDIRECT("'" &amp; $A19 &amp; "'!$A:$A"), INDIRECT("'" &amp; $A19 &amp; "'!$C:$C"), 0)</f>
        <v>129</v>
      </c>
      <c r="AI19" cm="1">
        <f t="array" aca="1" ref="AI19" ca="1">_xlfn.XLOOKUP(AI$5, INDIRECT("'" &amp; $A19 &amp; "'!$A:$A"), INDIRECT("'" &amp; $A19 &amp; "'!$C:$C"), 0)</f>
        <v>128</v>
      </c>
      <c r="AJ19" cm="1">
        <f t="array" aca="1" ref="AJ19" ca="1">_xlfn.XLOOKUP(AJ$5, INDIRECT("'" &amp; $A19 &amp; "'!$A:$A"), INDIRECT("'" &amp; $A19 &amp; "'!$C:$C"), 0)</f>
        <v>521</v>
      </c>
      <c r="AK19" cm="1">
        <f t="array" aca="1" ref="AK19" ca="1">_xlfn.XLOOKUP(AK$5, INDIRECT("'" &amp; $A19 &amp; "'!$A:$A"), INDIRECT("'" &amp; $A19 &amp; "'!$C:$C"), 0)</f>
        <v>298</v>
      </c>
      <c r="AL19" cm="1">
        <f t="array" aca="1" ref="AL19" ca="1">_xlfn.XLOOKUP(AL$5, INDIRECT("'" &amp; $A19 &amp; "'!$A:$A"), INDIRECT("'" &amp; $A19 &amp; "'!$C:$C"), 0)</f>
        <v>644</v>
      </c>
      <c r="AM19" cm="1">
        <f t="array" aca="1" ref="AM19" ca="1">_xlfn.XLOOKUP(AM$5, INDIRECT("'" &amp; $A19 &amp; "'!$A:$A"), INDIRECT("'" &amp; $A19 &amp; "'!$C:$C"), 0)</f>
        <v>1180</v>
      </c>
      <c r="AN19" cm="1">
        <f t="array" aca="1" ref="AN19" ca="1">_xlfn.XLOOKUP(AN$5, INDIRECT("'" &amp; $A19 &amp; "'!$A:$A"), INDIRECT("'" &amp; $A19 &amp; "'!$C:$C"), 0)</f>
        <v>589</v>
      </c>
      <c r="AO19" cm="1">
        <f t="array" aca="1" ref="AO19" ca="1">_xlfn.XLOOKUP(AO$5, INDIRECT("'" &amp; $A19 &amp; "'!$A:$A"), INDIRECT("'" &amp; $A19 &amp; "'!$C:$C"), 0)</f>
        <v>304</v>
      </c>
      <c r="AP19" cm="1">
        <f t="array" aca="1" ref="AP19" ca="1">_xlfn.XLOOKUP(AP$5, INDIRECT("'" &amp; $A19 &amp; "'!$A:$A"), INDIRECT("'" &amp; $A19 &amp; "'!$C:$C"), 0)</f>
        <v>1407</v>
      </c>
      <c r="AQ19" cm="1">
        <f t="array" aca="1" ref="AQ19" ca="1">_xlfn.XLOOKUP(AQ$5, INDIRECT("'" &amp; $A19 &amp; "'!$A:$A"), INDIRECT("'" &amp; $A19 &amp; "'!$C:$C"), 0)</f>
        <v>719</v>
      </c>
      <c r="AR19" cm="1">
        <f t="array" aca="1" ref="AR19" ca="1">_xlfn.XLOOKUP(AR$5, INDIRECT("'" &amp; $A19 &amp; "'!$A:$A"), INDIRECT("'" &amp; $A19 &amp; "'!$C:$C"), 0)</f>
        <v>59</v>
      </c>
      <c r="AS19" cm="1">
        <f t="array" aca="1" ref="AS19" ca="1">_xlfn.XLOOKUP(AS$5, INDIRECT("'" &amp; $A19 &amp; "'!$A:$A"), INDIRECT("'" &amp; $A19 &amp; "'!$C:$C"), 0)</f>
        <v>130</v>
      </c>
      <c r="AT19" cm="1">
        <f t="array" aca="1" ref="AT19" ca="1">_xlfn.XLOOKUP(AT$5, INDIRECT("'" &amp; $A19 &amp; "'!$A:$A"), INDIRECT("'" &amp; $A19 &amp; "'!$C:$C"), 0)</f>
        <v>388</v>
      </c>
      <c r="AU19" cm="1">
        <f t="array" aca="1" ref="AU19" ca="1">_xlfn.XLOOKUP(AU$5, INDIRECT("'" &amp; $A19 &amp; "'!$A:$A"), INDIRECT("'" &amp; $A19 &amp; "'!$C:$C"), 0)</f>
        <v>42</v>
      </c>
      <c r="AV19" cm="1">
        <f t="array" aca="1" ref="AV19" ca="1">_xlfn.XLOOKUP(AV$5, INDIRECT("'" &amp; $A19 &amp; "'!$A:$A"), INDIRECT("'" &amp; $A19 &amp; "'!$C:$C"), 0)</f>
        <v>570</v>
      </c>
      <c r="AW19" cm="1">
        <f t="array" aca="1" ref="AW19" ca="1">_xlfn.XLOOKUP(AW$5, INDIRECT("'" &amp; $A19 &amp; "'!$A:$A"), INDIRECT("'" &amp; $A19 &amp; "'!$C:$C"), 0)</f>
        <v>1837</v>
      </c>
      <c r="AX19" cm="1">
        <f t="array" aca="1" ref="AX19" ca="1">_xlfn.XLOOKUP(AX$5, INDIRECT("'" &amp; $A19 &amp; "'!$A:$A"), INDIRECT("'" &amp; $A19 &amp; "'!$C:$C"), 0)</f>
        <v>121</v>
      </c>
      <c r="AY19" cm="1">
        <f t="array" aca="1" ref="AY19" ca="1">_xlfn.XLOOKUP(AY$5, INDIRECT("'" &amp; $A19 &amp; "'!$A:$A"), INDIRECT("'" &amp; $A19 &amp; "'!$C:$C"), 0)</f>
        <v>389</v>
      </c>
      <c r="AZ19" cm="1">
        <f t="array" aca="1" ref="AZ19" ca="1">_xlfn.XLOOKUP(AZ$5, INDIRECT("'" &amp; $A19 &amp; "'!$A:$A"), INDIRECT("'" &amp; $A19 &amp; "'!$C:$C"), 0)</f>
        <v>9</v>
      </c>
      <c r="BA19" cm="1">
        <f t="array" aca="1" ref="BA19" ca="1">_xlfn.XLOOKUP(BA$5, INDIRECT("'" &amp; $A19 &amp; "'!$A:$A"), INDIRECT("'" &amp; $A19 &amp; "'!$C:$C"), 0)</f>
        <v>108</v>
      </c>
      <c r="BB19" cm="1">
        <f t="array" aca="1" ref="BB19" ca="1">_xlfn.XLOOKUP(BB$5, INDIRECT("'" &amp; $A19 &amp; "'!$A:$A"), INDIRECT("'" &amp; $A19 &amp; "'!$C:$C"), 0)</f>
        <v>1780</v>
      </c>
      <c r="BC19" cm="1">
        <f t="array" aca="1" ref="BC19" ca="1">_xlfn.XLOOKUP(BC$5, INDIRECT("'" &amp; $A19 &amp; "'!$A:$A"), INDIRECT("'" &amp; $A19 &amp; "'!$C:$C"), 0)</f>
        <v>351</v>
      </c>
      <c r="BD19" cm="1">
        <f t="array" aca="1" ref="BD19" ca="1">_xlfn.XLOOKUP(BD$5, INDIRECT("'" &amp; $A19 &amp; "'!$A:$A"), INDIRECT("'" &amp; $A19 &amp; "'!$C:$C"), 0)</f>
        <v>132</v>
      </c>
      <c r="BE19" cm="1">
        <f t="array" aca="1" ref="BE19" ca="1">_xlfn.XLOOKUP(BE$5, INDIRECT("'" &amp; $A19 &amp; "'!$A:$A"), INDIRECT("'" &amp; $A19 &amp; "'!$C:$C"), 0)</f>
        <v>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4569-79D1-4239-963C-1E1DCA773FEA}">
  <dimension ref="A1:H60"/>
  <sheetViews>
    <sheetView workbookViewId="0">
      <selection activeCell="B3" sqref="B3"/>
    </sheetView>
  </sheetViews>
  <sheetFormatPr defaultRowHeight="15" x14ac:dyDescent="0.25"/>
  <cols>
    <col min="1" max="1" width="11.42578125" style="1" bestFit="1" customWidth="1"/>
    <col min="2" max="2" width="17.7109375" style="1" customWidth="1"/>
    <col min="3" max="3" width="25.5703125" style="1" customWidth="1"/>
    <col min="4" max="5" width="38" style="1" customWidth="1"/>
    <col min="6" max="6" width="38.140625" style="1" customWidth="1"/>
    <col min="7" max="7" width="40.140625" style="1" customWidth="1"/>
    <col min="8" max="8" width="37" style="1" customWidth="1"/>
    <col min="9" max="16384" width="9.140625" style="1"/>
  </cols>
  <sheetData>
    <row r="1" spans="1:8" ht="39" x14ac:dyDescent="0.25">
      <c r="A1" s="2" t="s">
        <v>72</v>
      </c>
      <c r="B1" s="9" t="s">
        <v>73</v>
      </c>
      <c r="C1" s="9" t="s">
        <v>74</v>
      </c>
      <c r="D1" s="9" t="s">
        <v>75</v>
      </c>
      <c r="E1" s="9" t="s">
        <v>76</v>
      </c>
      <c r="F1" s="9" t="s">
        <v>77</v>
      </c>
      <c r="G1" s="9" t="s">
        <v>78</v>
      </c>
      <c r="H1" s="13" t="s">
        <v>79</v>
      </c>
    </row>
    <row r="2" spans="1:8" x14ac:dyDescent="0.25">
      <c r="A2" s="4" t="s">
        <v>14</v>
      </c>
      <c r="B2" s="10">
        <v>2</v>
      </c>
      <c r="C2" s="10">
        <v>106</v>
      </c>
      <c r="D2" s="10">
        <v>79</v>
      </c>
      <c r="E2" s="10">
        <v>8</v>
      </c>
      <c r="F2" s="10">
        <v>0</v>
      </c>
      <c r="G2" s="10">
        <v>87</v>
      </c>
      <c r="H2" s="14">
        <v>19</v>
      </c>
    </row>
    <row r="3" spans="1:8" x14ac:dyDescent="0.25">
      <c r="A3" s="4" t="s">
        <v>15</v>
      </c>
      <c r="B3" s="10">
        <v>9</v>
      </c>
      <c r="C3" s="10">
        <v>291</v>
      </c>
      <c r="D3" s="10">
        <v>123</v>
      </c>
      <c r="E3" s="10">
        <v>68</v>
      </c>
      <c r="F3" s="10">
        <v>0</v>
      </c>
      <c r="G3" s="10">
        <v>191</v>
      </c>
      <c r="H3" s="14">
        <v>100</v>
      </c>
    </row>
    <row r="4" spans="1:8" x14ac:dyDescent="0.25">
      <c r="A4" s="4" t="s">
        <v>16</v>
      </c>
      <c r="B4" s="10">
        <v>5</v>
      </c>
      <c r="C4" s="10">
        <v>226</v>
      </c>
      <c r="D4" s="10">
        <v>130</v>
      </c>
      <c r="E4" s="10">
        <v>14</v>
      </c>
      <c r="F4" s="10">
        <v>0</v>
      </c>
      <c r="G4" s="10">
        <v>144</v>
      </c>
      <c r="H4" s="14">
        <v>82</v>
      </c>
    </row>
    <row r="5" spans="1:8" x14ac:dyDescent="0.25">
      <c r="A5" s="4" t="s">
        <v>17</v>
      </c>
      <c r="B5" s="10">
        <v>0</v>
      </c>
      <c r="C5" s="10" t="s">
        <v>18</v>
      </c>
      <c r="D5" s="10" t="s">
        <v>18</v>
      </c>
      <c r="E5" s="10" t="s">
        <v>18</v>
      </c>
      <c r="F5" s="10" t="s">
        <v>18</v>
      </c>
      <c r="G5" s="10" t="s">
        <v>18</v>
      </c>
      <c r="H5" s="14" t="s">
        <v>18</v>
      </c>
    </row>
    <row r="6" spans="1:8" x14ac:dyDescent="0.25">
      <c r="A6" s="4" t="s">
        <v>19</v>
      </c>
      <c r="B6" s="10">
        <v>3</v>
      </c>
      <c r="C6" s="10">
        <v>994</v>
      </c>
      <c r="D6" s="10">
        <v>315</v>
      </c>
      <c r="E6" s="10">
        <v>307</v>
      </c>
      <c r="F6" s="10">
        <v>55</v>
      </c>
      <c r="G6" s="10">
        <v>677</v>
      </c>
      <c r="H6" s="14">
        <v>317</v>
      </c>
    </row>
    <row r="7" spans="1:8" x14ac:dyDescent="0.25">
      <c r="A7" s="4" t="s">
        <v>20</v>
      </c>
      <c r="B7" s="10">
        <v>44</v>
      </c>
      <c r="C7" s="10">
        <v>9310</v>
      </c>
      <c r="D7" s="10">
        <v>1541</v>
      </c>
      <c r="E7" s="10">
        <v>1139</v>
      </c>
      <c r="F7" s="10">
        <v>220</v>
      </c>
      <c r="G7" s="10">
        <v>2900</v>
      </c>
      <c r="H7" s="14">
        <v>6410</v>
      </c>
    </row>
    <row r="8" spans="1:8" x14ac:dyDescent="0.25">
      <c r="A8" s="4" t="s">
        <v>21</v>
      </c>
      <c r="B8" s="10">
        <v>4</v>
      </c>
      <c r="C8" s="10">
        <v>978</v>
      </c>
      <c r="D8" s="10">
        <v>339</v>
      </c>
      <c r="E8" s="10">
        <v>180</v>
      </c>
      <c r="F8" s="10">
        <v>19</v>
      </c>
      <c r="G8" s="10">
        <v>538</v>
      </c>
      <c r="H8" s="14">
        <v>440</v>
      </c>
    </row>
    <row r="9" spans="1:8" x14ac:dyDescent="0.25">
      <c r="A9" s="4" t="s">
        <v>22</v>
      </c>
      <c r="B9" s="10">
        <v>2</v>
      </c>
      <c r="C9" s="10">
        <v>174</v>
      </c>
      <c r="D9" s="10">
        <v>43</v>
      </c>
      <c r="E9" s="10">
        <v>90</v>
      </c>
      <c r="F9" s="10">
        <v>19</v>
      </c>
      <c r="G9" s="10">
        <v>152</v>
      </c>
      <c r="H9" s="14">
        <v>22</v>
      </c>
    </row>
    <row r="10" spans="1:8" x14ac:dyDescent="0.25">
      <c r="A10" s="4" t="s">
        <v>23</v>
      </c>
      <c r="B10" s="10">
        <v>1</v>
      </c>
      <c r="C10" s="10">
        <v>213</v>
      </c>
      <c r="D10" s="10">
        <v>82</v>
      </c>
      <c r="E10" s="10">
        <v>74</v>
      </c>
      <c r="F10" s="10">
        <v>4</v>
      </c>
      <c r="G10" s="10">
        <v>160</v>
      </c>
      <c r="H10" s="14">
        <v>53</v>
      </c>
    </row>
    <row r="11" spans="1:8" x14ac:dyDescent="0.25">
      <c r="A11" s="4" t="s">
        <v>24</v>
      </c>
      <c r="B11" s="10">
        <v>1</v>
      </c>
      <c r="C11" s="10">
        <v>89</v>
      </c>
      <c r="D11" s="10">
        <v>41</v>
      </c>
      <c r="E11" s="10">
        <v>36</v>
      </c>
      <c r="F11" s="10">
        <v>0</v>
      </c>
      <c r="G11" s="10">
        <v>77</v>
      </c>
      <c r="H11" s="14">
        <v>12</v>
      </c>
    </row>
    <row r="12" spans="1:8" x14ac:dyDescent="0.25">
      <c r="A12" s="4" t="s">
        <v>25</v>
      </c>
      <c r="B12" s="10">
        <v>27</v>
      </c>
      <c r="C12" s="10">
        <v>2333</v>
      </c>
      <c r="D12" s="10">
        <v>526</v>
      </c>
      <c r="E12" s="10">
        <v>675</v>
      </c>
      <c r="F12" s="10">
        <v>87</v>
      </c>
      <c r="G12" s="10">
        <v>1288</v>
      </c>
      <c r="H12" s="14">
        <v>1045</v>
      </c>
    </row>
    <row r="13" spans="1:8" x14ac:dyDescent="0.25">
      <c r="A13" s="4" t="s">
        <v>26</v>
      </c>
      <c r="B13" s="10">
        <v>9</v>
      </c>
      <c r="C13" s="10">
        <v>646</v>
      </c>
      <c r="D13" s="10">
        <v>162</v>
      </c>
      <c r="E13" s="10">
        <v>177</v>
      </c>
      <c r="F13" s="10">
        <v>0</v>
      </c>
      <c r="G13" s="10">
        <v>339</v>
      </c>
      <c r="H13" s="14">
        <v>307</v>
      </c>
    </row>
    <row r="14" spans="1:8" x14ac:dyDescent="0.25">
      <c r="A14" s="4" t="s">
        <v>27</v>
      </c>
      <c r="B14" s="10">
        <v>1</v>
      </c>
      <c r="C14" s="10">
        <v>32</v>
      </c>
      <c r="D14" s="10">
        <v>8</v>
      </c>
      <c r="E14" s="10">
        <v>0</v>
      </c>
      <c r="F14" s="10">
        <v>0</v>
      </c>
      <c r="G14" s="10">
        <v>8</v>
      </c>
      <c r="H14" s="14">
        <v>24</v>
      </c>
    </row>
    <row r="15" spans="1:8" x14ac:dyDescent="0.25">
      <c r="A15" s="4" t="s">
        <v>28</v>
      </c>
      <c r="B15" s="10">
        <v>2</v>
      </c>
      <c r="C15" s="10">
        <v>283</v>
      </c>
      <c r="D15" s="10">
        <v>64</v>
      </c>
      <c r="E15" s="10">
        <v>41</v>
      </c>
      <c r="F15" s="10">
        <v>33</v>
      </c>
      <c r="G15" s="10">
        <v>138</v>
      </c>
      <c r="H15" s="14">
        <v>145</v>
      </c>
    </row>
    <row r="16" spans="1:8" x14ac:dyDescent="0.25">
      <c r="A16" s="4" t="s">
        <v>29</v>
      </c>
      <c r="B16" s="10">
        <v>3</v>
      </c>
      <c r="C16" s="10">
        <v>135</v>
      </c>
      <c r="D16" s="10">
        <v>60</v>
      </c>
      <c r="E16" s="10">
        <v>23</v>
      </c>
      <c r="F16" s="10">
        <v>20</v>
      </c>
      <c r="G16" s="10">
        <v>103</v>
      </c>
      <c r="H16" s="14">
        <v>32</v>
      </c>
    </row>
    <row r="17" spans="1:8" x14ac:dyDescent="0.25">
      <c r="A17" s="4" t="s">
        <v>30</v>
      </c>
      <c r="B17" s="10">
        <v>2</v>
      </c>
      <c r="C17" s="10">
        <v>209</v>
      </c>
      <c r="D17" s="10">
        <v>72</v>
      </c>
      <c r="E17" s="10">
        <v>59</v>
      </c>
      <c r="F17" s="10">
        <v>0</v>
      </c>
      <c r="G17" s="10">
        <v>131</v>
      </c>
      <c r="H17" s="14">
        <v>78</v>
      </c>
    </row>
    <row r="18" spans="1:8" x14ac:dyDescent="0.25">
      <c r="A18" s="4" t="s">
        <v>31</v>
      </c>
      <c r="B18" s="10">
        <v>19</v>
      </c>
      <c r="C18" s="10">
        <v>559</v>
      </c>
      <c r="D18" s="10">
        <v>205</v>
      </c>
      <c r="E18" s="10">
        <v>196</v>
      </c>
      <c r="F18" s="10">
        <v>12</v>
      </c>
      <c r="G18" s="10">
        <v>413</v>
      </c>
      <c r="H18" s="14">
        <v>146</v>
      </c>
    </row>
    <row r="19" spans="1:8" x14ac:dyDescent="0.25">
      <c r="A19" s="4" t="s">
        <v>32</v>
      </c>
      <c r="B19" s="10">
        <v>2</v>
      </c>
      <c r="C19" s="10">
        <v>422</v>
      </c>
      <c r="D19" s="10">
        <v>190</v>
      </c>
      <c r="E19" s="10">
        <v>140</v>
      </c>
      <c r="F19" s="10">
        <v>12</v>
      </c>
      <c r="G19" s="10">
        <v>342</v>
      </c>
      <c r="H19" s="14">
        <v>80</v>
      </c>
    </row>
    <row r="20" spans="1:8" x14ac:dyDescent="0.25">
      <c r="A20" s="4" t="s">
        <v>149</v>
      </c>
      <c r="B20" s="10">
        <v>5</v>
      </c>
      <c r="C20" s="10">
        <v>211</v>
      </c>
      <c r="D20" s="10">
        <v>116</v>
      </c>
      <c r="E20" s="10">
        <v>29</v>
      </c>
      <c r="F20" s="10">
        <v>7</v>
      </c>
      <c r="G20" s="10">
        <v>152</v>
      </c>
      <c r="H20" s="14">
        <v>59</v>
      </c>
    </row>
    <row r="21" spans="1:8" x14ac:dyDescent="0.25">
      <c r="A21" s="4" t="s">
        <v>34</v>
      </c>
      <c r="B21" s="10">
        <v>3</v>
      </c>
      <c r="C21" s="10">
        <v>391</v>
      </c>
      <c r="D21" s="10">
        <v>90</v>
      </c>
      <c r="E21" s="10">
        <v>219</v>
      </c>
      <c r="F21" s="10">
        <v>0</v>
      </c>
      <c r="G21" s="10">
        <v>309</v>
      </c>
      <c r="H21" s="14">
        <v>82</v>
      </c>
    </row>
    <row r="22" spans="1:8" x14ac:dyDescent="0.25">
      <c r="A22" s="4" t="s">
        <v>35</v>
      </c>
      <c r="B22" s="10">
        <v>7</v>
      </c>
      <c r="C22" s="10">
        <v>223</v>
      </c>
      <c r="D22" s="10">
        <v>71</v>
      </c>
      <c r="E22" s="10">
        <v>79</v>
      </c>
      <c r="F22" s="10">
        <v>29</v>
      </c>
      <c r="G22" s="10">
        <v>179</v>
      </c>
      <c r="H22" s="14">
        <v>44</v>
      </c>
    </row>
    <row r="23" spans="1:8" x14ac:dyDescent="0.25">
      <c r="A23" s="4" t="s">
        <v>36</v>
      </c>
      <c r="B23" s="10">
        <v>11</v>
      </c>
      <c r="C23" s="10">
        <v>550</v>
      </c>
      <c r="D23" s="10">
        <v>162</v>
      </c>
      <c r="E23" s="10">
        <v>302</v>
      </c>
      <c r="F23" s="10">
        <v>28</v>
      </c>
      <c r="G23" s="10">
        <v>492</v>
      </c>
      <c r="H23" s="14">
        <v>58</v>
      </c>
    </row>
    <row r="24" spans="1:8" x14ac:dyDescent="0.25">
      <c r="A24" s="4" t="s">
        <v>37</v>
      </c>
      <c r="B24" s="10">
        <v>10</v>
      </c>
      <c r="C24" s="10">
        <v>312</v>
      </c>
      <c r="D24" s="10">
        <v>101</v>
      </c>
      <c r="E24" s="10">
        <v>153</v>
      </c>
      <c r="F24" s="10">
        <v>20</v>
      </c>
      <c r="G24" s="10">
        <v>274</v>
      </c>
      <c r="H24" s="14">
        <v>38</v>
      </c>
    </row>
    <row r="25" spans="1:8" x14ac:dyDescent="0.25">
      <c r="A25" s="4" t="s">
        <v>38</v>
      </c>
      <c r="B25" s="10">
        <v>1</v>
      </c>
      <c r="C25" s="10">
        <v>115</v>
      </c>
      <c r="D25" s="10">
        <v>62</v>
      </c>
      <c r="E25" s="10">
        <v>39</v>
      </c>
      <c r="F25" s="10">
        <v>0</v>
      </c>
      <c r="G25" s="10">
        <v>101</v>
      </c>
      <c r="H25" s="14">
        <v>14</v>
      </c>
    </row>
    <row r="26" spans="1:8" x14ac:dyDescent="0.25">
      <c r="A26" s="4" t="s">
        <v>39</v>
      </c>
      <c r="B26" s="10">
        <v>20</v>
      </c>
      <c r="C26" s="10">
        <v>456</v>
      </c>
      <c r="D26" s="10">
        <v>215</v>
      </c>
      <c r="E26" s="10">
        <v>166</v>
      </c>
      <c r="F26" s="10">
        <v>30</v>
      </c>
      <c r="G26" s="10">
        <v>411</v>
      </c>
      <c r="H26" s="14">
        <v>45</v>
      </c>
    </row>
    <row r="27" spans="1:8" x14ac:dyDescent="0.25">
      <c r="A27" s="4" t="s">
        <v>40</v>
      </c>
      <c r="B27" s="10">
        <v>10</v>
      </c>
      <c r="C27" s="10">
        <v>299</v>
      </c>
      <c r="D27" s="10">
        <v>134</v>
      </c>
      <c r="E27" s="10">
        <v>113</v>
      </c>
      <c r="F27" s="10">
        <v>0</v>
      </c>
      <c r="G27" s="10">
        <v>247</v>
      </c>
      <c r="H27" s="14">
        <v>52</v>
      </c>
    </row>
    <row r="28" spans="1:8" x14ac:dyDescent="0.25">
      <c r="A28" s="4" t="s">
        <v>41</v>
      </c>
      <c r="B28" s="10">
        <v>8</v>
      </c>
      <c r="C28" s="10">
        <v>513</v>
      </c>
      <c r="D28" s="10">
        <v>184</v>
      </c>
      <c r="E28" s="10">
        <v>178</v>
      </c>
      <c r="F28" s="10">
        <v>12</v>
      </c>
      <c r="G28" s="10">
        <v>374</v>
      </c>
      <c r="H28" s="14">
        <v>139</v>
      </c>
    </row>
    <row r="29" spans="1:8" x14ac:dyDescent="0.25">
      <c r="A29" s="4" t="s">
        <v>42</v>
      </c>
      <c r="B29" s="10">
        <v>0</v>
      </c>
      <c r="C29" s="10" t="s">
        <v>18</v>
      </c>
      <c r="D29" s="10" t="s">
        <v>18</v>
      </c>
      <c r="E29" s="10" t="s">
        <v>18</v>
      </c>
      <c r="F29" s="10" t="s">
        <v>18</v>
      </c>
      <c r="G29" s="10" t="s">
        <v>18</v>
      </c>
      <c r="H29" s="14" t="s">
        <v>18</v>
      </c>
    </row>
    <row r="30" spans="1:8" x14ac:dyDescent="0.25">
      <c r="A30" s="4" t="s">
        <v>43</v>
      </c>
      <c r="B30" s="10">
        <v>3</v>
      </c>
      <c r="C30" s="10">
        <v>40</v>
      </c>
      <c r="D30" s="10">
        <v>9</v>
      </c>
      <c r="E30" s="10">
        <v>12</v>
      </c>
      <c r="F30" s="10">
        <v>0</v>
      </c>
      <c r="G30" s="10">
        <v>21</v>
      </c>
      <c r="H30" s="14">
        <v>19</v>
      </c>
    </row>
    <row r="31" spans="1:8" x14ac:dyDescent="0.25">
      <c r="A31" s="4" t="s">
        <v>44</v>
      </c>
      <c r="B31" s="10">
        <v>1</v>
      </c>
      <c r="C31" s="10">
        <v>168</v>
      </c>
      <c r="D31" s="10">
        <v>63</v>
      </c>
      <c r="E31" s="10">
        <v>50</v>
      </c>
      <c r="F31" s="10">
        <v>0</v>
      </c>
      <c r="G31" s="10">
        <v>113</v>
      </c>
      <c r="H31" s="14">
        <v>55</v>
      </c>
    </row>
    <row r="32" spans="1:8" x14ac:dyDescent="0.25">
      <c r="A32" s="4" t="s">
        <v>45</v>
      </c>
      <c r="B32" s="10">
        <v>12</v>
      </c>
      <c r="C32" s="10">
        <v>688</v>
      </c>
      <c r="D32" s="10">
        <v>229</v>
      </c>
      <c r="E32" s="10">
        <v>278</v>
      </c>
      <c r="F32" s="10">
        <v>23</v>
      </c>
      <c r="G32" s="10">
        <v>530</v>
      </c>
      <c r="H32" s="14">
        <v>158</v>
      </c>
    </row>
    <row r="33" spans="1:8" x14ac:dyDescent="0.25">
      <c r="A33" s="4" t="s">
        <v>46</v>
      </c>
      <c r="B33" s="10">
        <v>1</v>
      </c>
      <c r="C33" s="10">
        <v>44</v>
      </c>
      <c r="D33" s="10">
        <v>25</v>
      </c>
      <c r="E33" s="10">
        <v>11</v>
      </c>
      <c r="F33" s="10">
        <v>0</v>
      </c>
      <c r="G33" s="10">
        <v>36</v>
      </c>
      <c r="H33" s="14">
        <v>8</v>
      </c>
    </row>
    <row r="34" spans="1:8" x14ac:dyDescent="0.25">
      <c r="A34" s="4" t="s">
        <v>47</v>
      </c>
      <c r="B34" s="10">
        <v>3</v>
      </c>
      <c r="C34" s="10">
        <v>129</v>
      </c>
      <c r="D34" s="10">
        <v>83</v>
      </c>
      <c r="E34" s="10">
        <v>27</v>
      </c>
      <c r="F34" s="10">
        <v>10</v>
      </c>
      <c r="G34" s="10">
        <v>120</v>
      </c>
      <c r="H34" s="14">
        <v>9</v>
      </c>
    </row>
    <row r="35" spans="1:8" x14ac:dyDescent="0.25">
      <c r="A35" s="4" t="s">
        <v>48</v>
      </c>
      <c r="B35" s="10">
        <v>3</v>
      </c>
      <c r="C35" s="10">
        <v>128</v>
      </c>
      <c r="D35" s="10">
        <v>45</v>
      </c>
      <c r="E35" s="10">
        <v>62</v>
      </c>
      <c r="F35" s="10">
        <v>0</v>
      </c>
      <c r="G35" s="10">
        <v>107</v>
      </c>
      <c r="H35" s="14">
        <v>21</v>
      </c>
    </row>
    <row r="36" spans="1:8" x14ac:dyDescent="0.25">
      <c r="A36" s="4" t="s">
        <v>49</v>
      </c>
      <c r="B36" s="10">
        <v>16</v>
      </c>
      <c r="C36" s="10">
        <v>521</v>
      </c>
      <c r="D36" s="10">
        <v>142</v>
      </c>
      <c r="E36" s="10">
        <v>265</v>
      </c>
      <c r="F36" s="10">
        <v>28</v>
      </c>
      <c r="G36" s="10">
        <v>435</v>
      </c>
      <c r="H36" s="14">
        <v>86</v>
      </c>
    </row>
    <row r="37" spans="1:8" x14ac:dyDescent="0.25">
      <c r="A37" s="4" t="s">
        <v>50</v>
      </c>
      <c r="B37" s="10">
        <v>2</v>
      </c>
      <c r="C37" s="10">
        <v>298</v>
      </c>
      <c r="D37" s="10">
        <v>103</v>
      </c>
      <c r="E37" s="10">
        <v>16</v>
      </c>
      <c r="F37" s="10">
        <v>0</v>
      </c>
      <c r="G37" s="10">
        <v>119</v>
      </c>
      <c r="H37" s="14">
        <v>179</v>
      </c>
    </row>
    <row r="38" spans="1:8" x14ac:dyDescent="0.25">
      <c r="A38" s="4" t="s">
        <v>51</v>
      </c>
      <c r="B38" s="10">
        <v>3</v>
      </c>
      <c r="C38" s="10">
        <v>644</v>
      </c>
      <c r="D38" s="10">
        <v>210</v>
      </c>
      <c r="E38" s="10">
        <v>339</v>
      </c>
      <c r="F38" s="10">
        <v>0</v>
      </c>
      <c r="G38" s="10">
        <v>549</v>
      </c>
      <c r="H38" s="14">
        <v>95</v>
      </c>
    </row>
    <row r="39" spans="1:8" x14ac:dyDescent="0.25">
      <c r="A39" s="4" t="s">
        <v>52</v>
      </c>
      <c r="B39" s="10">
        <v>24</v>
      </c>
      <c r="C39" s="10">
        <v>1180</v>
      </c>
      <c r="D39" s="10">
        <v>721</v>
      </c>
      <c r="E39" s="10">
        <v>370</v>
      </c>
      <c r="F39" s="10">
        <v>53</v>
      </c>
      <c r="G39" s="10">
        <v>1144</v>
      </c>
      <c r="H39" s="14">
        <v>36</v>
      </c>
    </row>
    <row r="40" spans="1:8" x14ac:dyDescent="0.25">
      <c r="A40" s="4" t="s">
        <v>53</v>
      </c>
      <c r="B40" s="10">
        <v>9</v>
      </c>
      <c r="C40" s="10">
        <v>589</v>
      </c>
      <c r="D40" s="10">
        <v>256</v>
      </c>
      <c r="E40" s="10">
        <v>221</v>
      </c>
      <c r="F40" s="10">
        <v>41</v>
      </c>
      <c r="G40" s="10">
        <v>518</v>
      </c>
      <c r="H40" s="14">
        <v>71</v>
      </c>
    </row>
    <row r="41" spans="1:8" x14ac:dyDescent="0.25">
      <c r="A41" s="4" t="s">
        <v>54</v>
      </c>
      <c r="B41" s="10">
        <v>8</v>
      </c>
      <c r="C41" s="10">
        <v>304</v>
      </c>
      <c r="D41" s="10">
        <v>162</v>
      </c>
      <c r="E41" s="10">
        <v>34</v>
      </c>
      <c r="F41" s="10">
        <v>3</v>
      </c>
      <c r="G41" s="10">
        <v>199</v>
      </c>
      <c r="H41" s="14">
        <v>105</v>
      </c>
    </row>
    <row r="42" spans="1:8" x14ac:dyDescent="0.25">
      <c r="A42" s="4" t="s">
        <v>55</v>
      </c>
      <c r="B42" s="10">
        <v>8</v>
      </c>
      <c r="C42" s="10">
        <v>1407</v>
      </c>
      <c r="D42" s="10">
        <v>416</v>
      </c>
      <c r="E42" s="10">
        <v>208</v>
      </c>
      <c r="F42" s="10">
        <v>14</v>
      </c>
      <c r="G42" s="10">
        <v>638</v>
      </c>
      <c r="H42" s="14">
        <v>769</v>
      </c>
    </row>
    <row r="43" spans="1:8" x14ac:dyDescent="0.25">
      <c r="A43" s="4" t="s">
        <v>56</v>
      </c>
      <c r="B43" s="10">
        <v>16</v>
      </c>
      <c r="C43" s="10">
        <v>719</v>
      </c>
      <c r="D43" s="10">
        <v>347</v>
      </c>
      <c r="E43" s="10">
        <v>209</v>
      </c>
      <c r="F43" s="10">
        <v>65</v>
      </c>
      <c r="G43" s="10">
        <v>621</v>
      </c>
      <c r="H43" s="14">
        <v>98</v>
      </c>
    </row>
    <row r="44" spans="1:8" x14ac:dyDescent="0.25">
      <c r="A44" s="4" t="s">
        <v>57</v>
      </c>
      <c r="B44" s="10">
        <v>2</v>
      </c>
      <c r="C44" s="10">
        <v>59</v>
      </c>
      <c r="D44" s="10">
        <v>6</v>
      </c>
      <c r="E44" s="10">
        <v>10</v>
      </c>
      <c r="F44" s="10">
        <v>1</v>
      </c>
      <c r="G44" s="10">
        <v>17</v>
      </c>
      <c r="H44" s="14">
        <v>42</v>
      </c>
    </row>
    <row r="45" spans="1:8" x14ac:dyDescent="0.25">
      <c r="A45" s="4" t="s">
        <v>58</v>
      </c>
      <c r="B45" s="10">
        <v>1</v>
      </c>
      <c r="C45" s="10">
        <v>130</v>
      </c>
      <c r="D45" s="10">
        <v>37</v>
      </c>
      <c r="E45" s="10">
        <v>72</v>
      </c>
      <c r="F45" s="10">
        <v>0</v>
      </c>
      <c r="G45" s="10">
        <v>109</v>
      </c>
      <c r="H45" s="14">
        <v>21</v>
      </c>
    </row>
    <row r="46" spans="1:8" x14ac:dyDescent="0.25">
      <c r="A46" s="4" t="s">
        <v>59</v>
      </c>
      <c r="B46" s="10">
        <v>4</v>
      </c>
      <c r="C46" s="10">
        <v>388</v>
      </c>
      <c r="D46" s="10">
        <v>124</v>
      </c>
      <c r="E46" s="10">
        <v>147</v>
      </c>
      <c r="F46" s="10">
        <v>18</v>
      </c>
      <c r="G46" s="10">
        <v>289</v>
      </c>
      <c r="H46" s="14">
        <v>99</v>
      </c>
    </row>
    <row r="47" spans="1:8" x14ac:dyDescent="0.25">
      <c r="A47" s="4" t="s">
        <v>60</v>
      </c>
      <c r="B47" s="10">
        <v>1</v>
      </c>
      <c r="C47" s="10">
        <v>42</v>
      </c>
      <c r="D47" s="10">
        <v>26</v>
      </c>
      <c r="E47" s="10">
        <v>2</v>
      </c>
      <c r="F47" s="10">
        <v>0</v>
      </c>
      <c r="G47" s="10">
        <v>28</v>
      </c>
      <c r="H47" s="14">
        <v>14</v>
      </c>
    </row>
    <row r="48" spans="1:8" x14ac:dyDescent="0.25">
      <c r="A48" s="4" t="s">
        <v>61</v>
      </c>
      <c r="B48" s="10">
        <v>10</v>
      </c>
      <c r="C48" s="10">
        <v>570</v>
      </c>
      <c r="D48" s="10">
        <v>166</v>
      </c>
      <c r="E48" s="10">
        <v>230</v>
      </c>
      <c r="F48" s="10">
        <v>2</v>
      </c>
      <c r="G48" s="10">
        <v>398</v>
      </c>
      <c r="H48" s="14">
        <v>172</v>
      </c>
    </row>
    <row r="49" spans="1:8" x14ac:dyDescent="0.25">
      <c r="A49" s="4" t="s">
        <v>62</v>
      </c>
      <c r="B49" s="10">
        <v>11</v>
      </c>
      <c r="C49" s="10">
        <v>1837</v>
      </c>
      <c r="D49" s="10">
        <v>612</v>
      </c>
      <c r="E49" s="10">
        <v>442</v>
      </c>
      <c r="F49" s="10">
        <v>69</v>
      </c>
      <c r="G49" s="10">
        <v>1123</v>
      </c>
      <c r="H49" s="14">
        <v>714</v>
      </c>
    </row>
    <row r="50" spans="1:8" x14ac:dyDescent="0.25">
      <c r="A50" s="4" t="s">
        <v>63</v>
      </c>
      <c r="B50" s="10">
        <v>3</v>
      </c>
      <c r="C50" s="10">
        <v>121</v>
      </c>
      <c r="D50" s="10">
        <v>44</v>
      </c>
      <c r="E50" s="10">
        <v>62</v>
      </c>
      <c r="F50" s="10">
        <v>0</v>
      </c>
      <c r="G50" s="10">
        <v>106</v>
      </c>
      <c r="H50" s="14">
        <v>15</v>
      </c>
    </row>
    <row r="51" spans="1:8" x14ac:dyDescent="0.25">
      <c r="A51" s="4" t="s">
        <v>64</v>
      </c>
      <c r="B51" s="10">
        <v>16</v>
      </c>
      <c r="C51" s="10">
        <v>389</v>
      </c>
      <c r="D51" s="10">
        <v>243</v>
      </c>
      <c r="E51" s="10">
        <v>28</v>
      </c>
      <c r="F51" s="10">
        <v>25</v>
      </c>
      <c r="G51" s="10">
        <v>296</v>
      </c>
      <c r="H51" s="14">
        <v>93</v>
      </c>
    </row>
    <row r="52" spans="1:8" x14ac:dyDescent="0.25">
      <c r="A52" s="4" t="s">
        <v>65</v>
      </c>
      <c r="B52" s="10">
        <v>1</v>
      </c>
      <c r="C52" s="10">
        <v>9</v>
      </c>
      <c r="D52" s="10">
        <v>0</v>
      </c>
      <c r="E52" s="10">
        <v>0</v>
      </c>
      <c r="F52" s="10">
        <v>0</v>
      </c>
      <c r="G52" s="10">
        <v>0</v>
      </c>
      <c r="H52" s="14">
        <v>9</v>
      </c>
    </row>
    <row r="53" spans="1:8" x14ac:dyDescent="0.25">
      <c r="A53" s="4" t="s">
        <v>66</v>
      </c>
      <c r="B53" s="10">
        <v>2</v>
      </c>
      <c r="C53" s="10">
        <v>108</v>
      </c>
      <c r="D53" s="10">
        <v>74</v>
      </c>
      <c r="E53" s="10">
        <v>28</v>
      </c>
      <c r="F53" s="10">
        <v>0</v>
      </c>
      <c r="G53" s="10">
        <v>102</v>
      </c>
      <c r="H53" s="14">
        <v>6</v>
      </c>
    </row>
    <row r="54" spans="1:8" x14ac:dyDescent="0.25">
      <c r="A54" s="4" t="s">
        <v>67</v>
      </c>
      <c r="B54" s="10">
        <v>6</v>
      </c>
      <c r="C54" s="10">
        <v>1780</v>
      </c>
      <c r="D54" s="10">
        <v>465</v>
      </c>
      <c r="E54" s="10">
        <v>243</v>
      </c>
      <c r="F54" s="10">
        <v>24</v>
      </c>
      <c r="G54" s="10">
        <v>732</v>
      </c>
      <c r="H54" s="14">
        <v>1048</v>
      </c>
    </row>
    <row r="55" spans="1:8" x14ac:dyDescent="0.25">
      <c r="A55" s="4" t="s">
        <v>68</v>
      </c>
      <c r="B55" s="10">
        <v>4</v>
      </c>
      <c r="C55" s="10">
        <v>351</v>
      </c>
      <c r="D55" s="10">
        <v>98</v>
      </c>
      <c r="E55" s="10">
        <v>230</v>
      </c>
      <c r="F55" s="10">
        <v>0</v>
      </c>
      <c r="G55" s="10">
        <v>328</v>
      </c>
      <c r="H55" s="14">
        <v>23</v>
      </c>
    </row>
    <row r="56" spans="1:8" x14ac:dyDescent="0.25">
      <c r="A56" s="4" t="s">
        <v>69</v>
      </c>
      <c r="B56" s="10">
        <v>4</v>
      </c>
      <c r="C56" s="10">
        <v>132</v>
      </c>
      <c r="D56" s="10">
        <v>65</v>
      </c>
      <c r="E56" s="10">
        <v>27</v>
      </c>
      <c r="F56" s="10">
        <v>0</v>
      </c>
      <c r="G56" s="10">
        <v>92</v>
      </c>
      <c r="H56" s="14">
        <v>40</v>
      </c>
    </row>
    <row r="57" spans="1:8" x14ac:dyDescent="0.25">
      <c r="A57" s="4" t="s">
        <v>70</v>
      </c>
      <c r="B57" s="10">
        <v>1</v>
      </c>
      <c r="C57" s="10">
        <v>37</v>
      </c>
      <c r="D57" s="10">
        <v>10</v>
      </c>
      <c r="E57" s="10">
        <v>24</v>
      </c>
      <c r="F57" s="10">
        <v>0</v>
      </c>
      <c r="G57" s="10">
        <v>34</v>
      </c>
      <c r="H57" s="14">
        <v>3</v>
      </c>
    </row>
    <row r="58" spans="1:8" x14ac:dyDescent="0.25">
      <c r="A58" s="15" t="s">
        <v>71</v>
      </c>
      <c r="B58" s="16">
        <v>385</v>
      </c>
      <c r="C58" s="16">
        <v>32882</v>
      </c>
      <c r="D58" s="16">
        <v>9896</v>
      </c>
      <c r="E58" s="16">
        <v>8152</v>
      </c>
      <c r="F58" s="16">
        <v>983</v>
      </c>
      <c r="G58" s="16">
        <v>19031</v>
      </c>
      <c r="H58" s="17">
        <v>13851</v>
      </c>
    </row>
    <row r="59" spans="1:8" ht="14.1" customHeight="1" x14ac:dyDescent="0.25"/>
    <row r="60" spans="1:8" x14ac:dyDescent="0.25">
      <c r="A60" s="12" t="s">
        <v>150</v>
      </c>
      <c r="B60" s="12"/>
      <c r="C60" s="12"/>
      <c r="D60" s="12"/>
      <c r="E60" s="12"/>
      <c r="F60" s="12"/>
      <c r="G60" s="12"/>
      <c r="H60" s="12"/>
    </row>
  </sheetData>
  <pageMargins left="0.08" right="0.08" top="1" bottom="1" header="0.5" footer="0.5"/>
  <pageSetup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7F117-BCEB-413E-B22F-CD0BB4A48CDC}">
  <dimension ref="A1:H60"/>
  <sheetViews>
    <sheetView workbookViewId="0">
      <selection sqref="A1:H58"/>
    </sheetView>
  </sheetViews>
  <sheetFormatPr defaultRowHeight="15" x14ac:dyDescent="0.25"/>
  <cols>
    <col min="1" max="1" width="11.42578125" style="1" bestFit="1" customWidth="1"/>
    <col min="2" max="2" width="17.7109375" style="1" customWidth="1"/>
    <col min="3" max="3" width="25.5703125" style="1" customWidth="1"/>
    <col min="4" max="5" width="38" style="1" customWidth="1"/>
    <col min="6" max="6" width="38.140625" style="1" customWidth="1"/>
    <col min="7" max="7" width="40.140625" style="1" customWidth="1"/>
    <col min="8" max="8" width="37" style="1" customWidth="1"/>
    <col min="9" max="16384" width="9.140625" style="1"/>
  </cols>
  <sheetData>
    <row r="1" spans="1:8" ht="39" x14ac:dyDescent="0.25">
      <c r="A1" s="2" t="s">
        <v>72</v>
      </c>
      <c r="B1" s="9" t="s">
        <v>73</v>
      </c>
      <c r="C1" s="9" t="s">
        <v>80</v>
      </c>
      <c r="D1" s="9" t="s">
        <v>81</v>
      </c>
      <c r="E1" s="9" t="s">
        <v>82</v>
      </c>
      <c r="F1" s="9" t="s">
        <v>83</v>
      </c>
      <c r="G1" s="9" t="s">
        <v>84</v>
      </c>
      <c r="H1" s="13" t="s">
        <v>85</v>
      </c>
    </row>
    <row r="2" spans="1:8" x14ac:dyDescent="0.25">
      <c r="A2" s="4" t="s">
        <v>14</v>
      </c>
      <c r="B2" s="10">
        <v>2</v>
      </c>
      <c r="C2" s="10">
        <v>119</v>
      </c>
      <c r="D2" s="10">
        <v>85</v>
      </c>
      <c r="E2" s="10">
        <v>17</v>
      </c>
      <c r="F2" s="10">
        <v>0</v>
      </c>
      <c r="G2" s="10">
        <v>102</v>
      </c>
      <c r="H2" s="14">
        <v>17</v>
      </c>
    </row>
    <row r="3" spans="1:8" x14ac:dyDescent="0.25">
      <c r="A3" s="4" t="s">
        <v>15</v>
      </c>
      <c r="B3" s="10">
        <v>8</v>
      </c>
      <c r="C3" s="10">
        <v>291</v>
      </c>
      <c r="D3" s="10">
        <v>123</v>
      </c>
      <c r="E3" s="10">
        <v>56</v>
      </c>
      <c r="F3" s="10">
        <v>0</v>
      </c>
      <c r="G3" s="10">
        <v>179</v>
      </c>
      <c r="H3" s="14">
        <v>112</v>
      </c>
    </row>
    <row r="4" spans="1:8" x14ac:dyDescent="0.25">
      <c r="A4" s="4" t="s">
        <v>16</v>
      </c>
      <c r="B4" s="10">
        <v>5</v>
      </c>
      <c r="C4" s="10">
        <v>205</v>
      </c>
      <c r="D4" s="10">
        <v>83</v>
      </c>
      <c r="E4" s="10">
        <v>38</v>
      </c>
      <c r="F4" s="10">
        <v>0</v>
      </c>
      <c r="G4" s="10">
        <v>121</v>
      </c>
      <c r="H4" s="14">
        <v>84</v>
      </c>
    </row>
    <row r="5" spans="1:8" x14ac:dyDescent="0.25">
      <c r="A5" s="4" t="s">
        <v>17</v>
      </c>
      <c r="B5" s="10">
        <v>0</v>
      </c>
      <c r="C5" s="10" t="s">
        <v>18</v>
      </c>
      <c r="D5" s="10" t="s">
        <v>18</v>
      </c>
      <c r="E5" s="10" t="s">
        <v>18</v>
      </c>
      <c r="F5" s="10" t="s">
        <v>18</v>
      </c>
      <c r="G5" s="10" t="s">
        <v>18</v>
      </c>
      <c r="H5" s="14" t="s">
        <v>18</v>
      </c>
    </row>
    <row r="6" spans="1:8" x14ac:dyDescent="0.25">
      <c r="A6" s="4" t="s">
        <v>19</v>
      </c>
      <c r="B6" s="10">
        <v>3</v>
      </c>
      <c r="C6" s="10">
        <v>932</v>
      </c>
      <c r="D6" s="10">
        <v>259</v>
      </c>
      <c r="E6" s="10">
        <v>337</v>
      </c>
      <c r="F6" s="10">
        <v>50</v>
      </c>
      <c r="G6" s="10">
        <v>646</v>
      </c>
      <c r="H6" s="14">
        <v>286</v>
      </c>
    </row>
    <row r="7" spans="1:8" x14ac:dyDescent="0.25">
      <c r="A7" s="4" t="s">
        <v>20</v>
      </c>
      <c r="B7" s="10">
        <v>44</v>
      </c>
      <c r="C7" s="10">
        <v>10589</v>
      </c>
      <c r="D7" s="10">
        <v>1308</v>
      </c>
      <c r="E7" s="10">
        <v>1397</v>
      </c>
      <c r="F7" s="10">
        <v>448</v>
      </c>
      <c r="G7" s="10">
        <v>3153</v>
      </c>
      <c r="H7" s="14">
        <v>7436</v>
      </c>
    </row>
    <row r="8" spans="1:8" x14ac:dyDescent="0.25">
      <c r="A8" s="4" t="s">
        <v>21</v>
      </c>
      <c r="B8" s="10">
        <v>4</v>
      </c>
      <c r="C8" s="10">
        <v>1022</v>
      </c>
      <c r="D8" s="10">
        <v>437</v>
      </c>
      <c r="E8" s="10">
        <v>182</v>
      </c>
      <c r="F8" s="10">
        <v>25</v>
      </c>
      <c r="G8" s="10">
        <v>644</v>
      </c>
      <c r="H8" s="14">
        <v>378</v>
      </c>
    </row>
    <row r="9" spans="1:8" x14ac:dyDescent="0.25">
      <c r="A9" s="4" t="s">
        <v>22</v>
      </c>
      <c r="B9" s="10">
        <v>2</v>
      </c>
      <c r="C9" s="10">
        <v>165</v>
      </c>
      <c r="D9" s="10">
        <v>32</v>
      </c>
      <c r="E9" s="10">
        <v>100</v>
      </c>
      <c r="F9" s="10">
        <v>16</v>
      </c>
      <c r="G9" s="10">
        <v>148</v>
      </c>
      <c r="H9" s="14">
        <v>17</v>
      </c>
    </row>
    <row r="10" spans="1:8" x14ac:dyDescent="0.25">
      <c r="A10" s="4" t="s">
        <v>23</v>
      </c>
      <c r="B10" s="10">
        <v>1</v>
      </c>
      <c r="C10" s="10">
        <v>218</v>
      </c>
      <c r="D10" s="10">
        <v>100</v>
      </c>
      <c r="E10" s="10">
        <v>59</v>
      </c>
      <c r="F10" s="10">
        <v>8</v>
      </c>
      <c r="G10" s="10">
        <v>167</v>
      </c>
      <c r="H10" s="14">
        <v>51</v>
      </c>
    </row>
    <row r="11" spans="1:8" x14ac:dyDescent="0.25">
      <c r="A11" s="4" t="s">
        <v>24</v>
      </c>
      <c r="B11" s="10">
        <v>1</v>
      </c>
      <c r="C11" s="10">
        <v>79</v>
      </c>
      <c r="D11" s="10">
        <v>36</v>
      </c>
      <c r="E11" s="10">
        <v>33</v>
      </c>
      <c r="F11" s="10">
        <v>0</v>
      </c>
      <c r="G11" s="10">
        <v>69</v>
      </c>
      <c r="H11" s="14">
        <v>10</v>
      </c>
    </row>
    <row r="12" spans="1:8" x14ac:dyDescent="0.25">
      <c r="A12" s="4" t="s">
        <v>25</v>
      </c>
      <c r="B12" s="10">
        <v>27</v>
      </c>
      <c r="C12" s="10">
        <v>2558</v>
      </c>
      <c r="D12" s="10">
        <v>617</v>
      </c>
      <c r="E12" s="10">
        <v>724</v>
      </c>
      <c r="F12" s="10">
        <v>91</v>
      </c>
      <c r="G12" s="10">
        <v>1432</v>
      </c>
      <c r="H12" s="14">
        <v>1126</v>
      </c>
    </row>
    <row r="13" spans="1:8" x14ac:dyDescent="0.25">
      <c r="A13" s="4" t="s">
        <v>26</v>
      </c>
      <c r="B13" s="10">
        <v>9</v>
      </c>
      <c r="C13" s="10">
        <v>701</v>
      </c>
      <c r="D13" s="10">
        <v>130</v>
      </c>
      <c r="E13" s="10">
        <v>167</v>
      </c>
      <c r="F13" s="10">
        <v>0</v>
      </c>
      <c r="G13" s="10">
        <v>297</v>
      </c>
      <c r="H13" s="14">
        <v>404</v>
      </c>
    </row>
    <row r="14" spans="1:8" x14ac:dyDescent="0.25">
      <c r="A14" s="4" t="s">
        <v>27</v>
      </c>
      <c r="B14" s="10">
        <v>1</v>
      </c>
      <c r="C14" s="10">
        <v>24</v>
      </c>
      <c r="D14" s="10">
        <v>7</v>
      </c>
      <c r="E14" s="10">
        <v>0</v>
      </c>
      <c r="F14" s="10">
        <v>0</v>
      </c>
      <c r="G14" s="10">
        <v>7</v>
      </c>
      <c r="H14" s="14">
        <v>17</v>
      </c>
    </row>
    <row r="15" spans="1:8" x14ac:dyDescent="0.25">
      <c r="A15" s="4" t="s">
        <v>28</v>
      </c>
      <c r="B15" s="10">
        <v>2</v>
      </c>
      <c r="C15" s="10">
        <v>317</v>
      </c>
      <c r="D15" s="10">
        <v>98</v>
      </c>
      <c r="E15" s="10">
        <v>31</v>
      </c>
      <c r="F15" s="10">
        <v>42</v>
      </c>
      <c r="G15" s="10">
        <v>171</v>
      </c>
      <c r="H15" s="14">
        <v>146</v>
      </c>
    </row>
    <row r="16" spans="1:8" x14ac:dyDescent="0.25">
      <c r="A16" s="4" t="s">
        <v>29</v>
      </c>
      <c r="B16" s="10">
        <v>3</v>
      </c>
      <c r="C16" s="10">
        <v>128</v>
      </c>
      <c r="D16" s="10">
        <v>49</v>
      </c>
      <c r="E16" s="10">
        <v>28</v>
      </c>
      <c r="F16" s="10">
        <v>21</v>
      </c>
      <c r="G16" s="10">
        <v>98</v>
      </c>
      <c r="H16" s="14">
        <v>30</v>
      </c>
    </row>
    <row r="17" spans="1:8" x14ac:dyDescent="0.25">
      <c r="A17" s="4" t="s">
        <v>30</v>
      </c>
      <c r="B17" s="10">
        <v>2</v>
      </c>
      <c r="C17" s="10">
        <v>182</v>
      </c>
      <c r="D17" s="10">
        <v>64</v>
      </c>
      <c r="E17" s="10">
        <v>60</v>
      </c>
      <c r="F17" s="10">
        <v>0</v>
      </c>
      <c r="G17" s="10">
        <v>124</v>
      </c>
      <c r="H17" s="14">
        <v>58</v>
      </c>
    </row>
    <row r="18" spans="1:8" x14ac:dyDescent="0.25">
      <c r="A18" s="4" t="s">
        <v>31</v>
      </c>
      <c r="B18" s="10">
        <v>19</v>
      </c>
      <c r="C18" s="10">
        <v>523</v>
      </c>
      <c r="D18" s="10">
        <v>159</v>
      </c>
      <c r="E18" s="10">
        <v>200</v>
      </c>
      <c r="F18" s="10">
        <v>23</v>
      </c>
      <c r="G18" s="10">
        <v>382</v>
      </c>
      <c r="H18" s="14">
        <v>141</v>
      </c>
    </row>
    <row r="19" spans="1:8" x14ac:dyDescent="0.25">
      <c r="A19" s="4" t="s">
        <v>32</v>
      </c>
      <c r="B19" s="10">
        <v>2</v>
      </c>
      <c r="C19" s="10">
        <v>488</v>
      </c>
      <c r="D19" s="10">
        <v>174</v>
      </c>
      <c r="E19" s="10">
        <v>201</v>
      </c>
      <c r="F19" s="10">
        <v>25</v>
      </c>
      <c r="G19" s="10">
        <v>400</v>
      </c>
      <c r="H19" s="14">
        <v>88</v>
      </c>
    </row>
    <row r="20" spans="1:8" x14ac:dyDescent="0.25">
      <c r="A20" s="4" t="s">
        <v>149</v>
      </c>
      <c r="B20" s="10">
        <v>5</v>
      </c>
      <c r="C20" s="10">
        <v>199</v>
      </c>
      <c r="D20" s="10">
        <v>111</v>
      </c>
      <c r="E20" s="10">
        <v>26</v>
      </c>
      <c r="F20" s="10">
        <v>10</v>
      </c>
      <c r="G20" s="10">
        <v>147</v>
      </c>
      <c r="H20" s="14">
        <v>52</v>
      </c>
    </row>
    <row r="21" spans="1:8" x14ac:dyDescent="0.25">
      <c r="A21" s="4" t="s">
        <v>34</v>
      </c>
      <c r="B21" s="10">
        <v>3</v>
      </c>
      <c r="C21" s="10">
        <v>417</v>
      </c>
      <c r="D21" s="10">
        <v>144</v>
      </c>
      <c r="E21" s="10">
        <v>193</v>
      </c>
      <c r="F21" s="10">
        <v>0</v>
      </c>
      <c r="G21" s="10">
        <v>337</v>
      </c>
      <c r="H21" s="14">
        <v>80</v>
      </c>
    </row>
    <row r="22" spans="1:8" x14ac:dyDescent="0.25">
      <c r="A22" s="4" t="s">
        <v>35</v>
      </c>
      <c r="B22" s="10">
        <v>7</v>
      </c>
      <c r="C22" s="10">
        <v>249</v>
      </c>
      <c r="D22" s="10">
        <v>88</v>
      </c>
      <c r="E22" s="10">
        <v>97</v>
      </c>
      <c r="F22" s="10">
        <v>19</v>
      </c>
      <c r="G22" s="10">
        <v>204</v>
      </c>
      <c r="H22" s="14">
        <v>45</v>
      </c>
    </row>
    <row r="23" spans="1:8" x14ac:dyDescent="0.25">
      <c r="A23" s="4" t="s">
        <v>36</v>
      </c>
      <c r="B23" s="10">
        <v>12</v>
      </c>
      <c r="C23" s="10">
        <v>545</v>
      </c>
      <c r="D23" s="10">
        <v>194</v>
      </c>
      <c r="E23" s="10">
        <v>274</v>
      </c>
      <c r="F23" s="10">
        <v>44</v>
      </c>
      <c r="G23" s="10">
        <v>512</v>
      </c>
      <c r="H23" s="14">
        <v>33</v>
      </c>
    </row>
    <row r="24" spans="1:8" x14ac:dyDescent="0.25">
      <c r="A24" s="4" t="s">
        <v>37</v>
      </c>
      <c r="B24" s="10">
        <v>10</v>
      </c>
      <c r="C24" s="10">
        <v>291</v>
      </c>
      <c r="D24" s="10">
        <v>121</v>
      </c>
      <c r="E24" s="10">
        <v>132</v>
      </c>
      <c r="F24" s="10">
        <v>11</v>
      </c>
      <c r="G24" s="10">
        <v>264</v>
      </c>
      <c r="H24" s="14">
        <v>27</v>
      </c>
    </row>
    <row r="25" spans="1:8" x14ac:dyDescent="0.25">
      <c r="A25" s="4" t="s">
        <v>38</v>
      </c>
      <c r="B25" s="10">
        <v>1</v>
      </c>
      <c r="C25" s="10">
        <v>123</v>
      </c>
      <c r="D25" s="10">
        <v>48</v>
      </c>
      <c r="E25" s="10">
        <v>52</v>
      </c>
      <c r="F25" s="10">
        <v>0</v>
      </c>
      <c r="G25" s="10">
        <v>100</v>
      </c>
      <c r="H25" s="14">
        <v>23</v>
      </c>
    </row>
    <row r="26" spans="1:8" x14ac:dyDescent="0.25">
      <c r="A26" s="4" t="s">
        <v>39</v>
      </c>
      <c r="B26" s="10">
        <v>20</v>
      </c>
      <c r="C26" s="10">
        <v>484</v>
      </c>
      <c r="D26" s="10">
        <v>241</v>
      </c>
      <c r="E26" s="10">
        <v>162</v>
      </c>
      <c r="F26" s="10">
        <v>37</v>
      </c>
      <c r="G26" s="10">
        <v>440</v>
      </c>
      <c r="H26" s="14">
        <v>44</v>
      </c>
    </row>
    <row r="27" spans="1:8" x14ac:dyDescent="0.25">
      <c r="A27" s="4" t="s">
        <v>40</v>
      </c>
      <c r="B27" s="10">
        <v>10</v>
      </c>
      <c r="C27" s="10">
        <v>336</v>
      </c>
      <c r="D27" s="10">
        <v>187</v>
      </c>
      <c r="E27" s="10">
        <v>94</v>
      </c>
      <c r="F27" s="10">
        <v>0</v>
      </c>
      <c r="G27" s="10">
        <v>281</v>
      </c>
      <c r="H27" s="14">
        <v>55</v>
      </c>
    </row>
    <row r="28" spans="1:8" x14ac:dyDescent="0.25">
      <c r="A28" s="4" t="s">
        <v>41</v>
      </c>
      <c r="B28" s="10">
        <v>8</v>
      </c>
      <c r="C28" s="10">
        <v>569</v>
      </c>
      <c r="D28" s="10">
        <v>196</v>
      </c>
      <c r="E28" s="10">
        <v>211</v>
      </c>
      <c r="F28" s="10">
        <v>19</v>
      </c>
      <c r="G28" s="10">
        <v>426</v>
      </c>
      <c r="H28" s="14">
        <v>143</v>
      </c>
    </row>
    <row r="29" spans="1:8" x14ac:dyDescent="0.25">
      <c r="A29" s="4" t="s">
        <v>42</v>
      </c>
      <c r="B29" s="10">
        <v>0</v>
      </c>
      <c r="C29" s="10" t="s">
        <v>18</v>
      </c>
      <c r="D29" s="10" t="s">
        <v>18</v>
      </c>
      <c r="E29" s="10" t="s">
        <v>18</v>
      </c>
      <c r="F29" s="10" t="s">
        <v>18</v>
      </c>
      <c r="G29" s="10" t="s">
        <v>18</v>
      </c>
      <c r="H29" s="14" t="s">
        <v>18</v>
      </c>
    </row>
    <row r="30" spans="1:8" x14ac:dyDescent="0.25">
      <c r="A30" s="4" t="s">
        <v>43</v>
      </c>
      <c r="B30" s="10">
        <v>3</v>
      </c>
      <c r="C30" s="10">
        <v>61</v>
      </c>
      <c r="D30" s="10">
        <v>16</v>
      </c>
      <c r="E30" s="10">
        <v>15</v>
      </c>
      <c r="F30" s="10">
        <v>0</v>
      </c>
      <c r="G30" s="10">
        <v>31</v>
      </c>
      <c r="H30" s="14">
        <v>30</v>
      </c>
    </row>
    <row r="31" spans="1:8" x14ac:dyDescent="0.25">
      <c r="A31" s="4" t="s">
        <v>44</v>
      </c>
      <c r="B31" s="10">
        <v>1</v>
      </c>
      <c r="C31" s="10">
        <v>207</v>
      </c>
      <c r="D31" s="10">
        <v>108</v>
      </c>
      <c r="E31" s="10">
        <v>36</v>
      </c>
      <c r="F31" s="10">
        <v>0</v>
      </c>
      <c r="G31" s="10">
        <v>144</v>
      </c>
      <c r="H31" s="14">
        <v>63</v>
      </c>
    </row>
    <row r="32" spans="1:8" x14ac:dyDescent="0.25">
      <c r="A32" s="4" t="s">
        <v>45</v>
      </c>
      <c r="B32" s="10">
        <v>12</v>
      </c>
      <c r="C32" s="10">
        <v>777</v>
      </c>
      <c r="D32" s="10">
        <v>293</v>
      </c>
      <c r="E32" s="10">
        <v>319</v>
      </c>
      <c r="F32" s="10">
        <v>14</v>
      </c>
      <c r="G32" s="10">
        <v>626</v>
      </c>
      <c r="H32" s="14">
        <v>151</v>
      </c>
    </row>
    <row r="33" spans="1:8" x14ac:dyDescent="0.25">
      <c r="A33" s="4" t="s">
        <v>46</v>
      </c>
      <c r="B33" s="10">
        <v>1</v>
      </c>
      <c r="C33" s="10">
        <v>27</v>
      </c>
      <c r="D33" s="10">
        <v>19</v>
      </c>
      <c r="E33" s="10">
        <v>0</v>
      </c>
      <c r="F33" s="10">
        <v>0</v>
      </c>
      <c r="G33" s="10">
        <v>19</v>
      </c>
      <c r="H33" s="14">
        <v>8</v>
      </c>
    </row>
    <row r="34" spans="1:8" x14ac:dyDescent="0.25">
      <c r="A34" s="4" t="s">
        <v>47</v>
      </c>
      <c r="B34" s="10">
        <v>3</v>
      </c>
      <c r="C34" s="10">
        <v>132</v>
      </c>
      <c r="D34" s="10">
        <v>89</v>
      </c>
      <c r="E34" s="10">
        <v>32</v>
      </c>
      <c r="F34" s="10">
        <v>0</v>
      </c>
      <c r="G34" s="10">
        <v>121</v>
      </c>
      <c r="H34" s="14">
        <v>11</v>
      </c>
    </row>
    <row r="35" spans="1:8" x14ac:dyDescent="0.25">
      <c r="A35" s="4" t="s">
        <v>48</v>
      </c>
      <c r="B35" s="10">
        <v>3</v>
      </c>
      <c r="C35" s="10">
        <v>100</v>
      </c>
      <c r="D35" s="10">
        <v>24</v>
      </c>
      <c r="E35" s="10">
        <v>66</v>
      </c>
      <c r="F35" s="10">
        <v>0</v>
      </c>
      <c r="G35" s="10">
        <v>90</v>
      </c>
      <c r="H35" s="14">
        <v>10</v>
      </c>
    </row>
    <row r="36" spans="1:8" x14ac:dyDescent="0.25">
      <c r="A36" s="4" t="s">
        <v>49</v>
      </c>
      <c r="B36" s="10">
        <v>16</v>
      </c>
      <c r="C36" s="10">
        <v>454</v>
      </c>
      <c r="D36" s="10">
        <v>160</v>
      </c>
      <c r="E36" s="10">
        <v>204</v>
      </c>
      <c r="F36" s="10">
        <v>27</v>
      </c>
      <c r="G36" s="10">
        <v>391</v>
      </c>
      <c r="H36" s="14">
        <v>63</v>
      </c>
    </row>
    <row r="37" spans="1:8" x14ac:dyDescent="0.25">
      <c r="A37" s="4" t="s">
        <v>50</v>
      </c>
      <c r="B37" s="10">
        <v>2</v>
      </c>
      <c r="C37" s="10">
        <v>256</v>
      </c>
      <c r="D37" s="10">
        <v>86</v>
      </c>
      <c r="E37" s="10">
        <v>29</v>
      </c>
      <c r="F37" s="10">
        <v>0</v>
      </c>
      <c r="G37" s="10">
        <v>115</v>
      </c>
      <c r="H37" s="14">
        <v>141</v>
      </c>
    </row>
    <row r="38" spans="1:8" x14ac:dyDescent="0.25">
      <c r="A38" s="4" t="s">
        <v>51</v>
      </c>
      <c r="B38" s="10">
        <v>3</v>
      </c>
      <c r="C38" s="10">
        <v>1094</v>
      </c>
      <c r="D38" s="10">
        <v>206</v>
      </c>
      <c r="E38" s="10">
        <v>333</v>
      </c>
      <c r="F38" s="10">
        <v>0</v>
      </c>
      <c r="G38" s="10">
        <v>539</v>
      </c>
      <c r="H38" s="14">
        <v>555</v>
      </c>
    </row>
    <row r="39" spans="1:8" x14ac:dyDescent="0.25">
      <c r="A39" s="4" t="s">
        <v>52</v>
      </c>
      <c r="B39" s="10">
        <v>24</v>
      </c>
      <c r="C39" s="10">
        <v>1098</v>
      </c>
      <c r="D39" s="10">
        <v>643</v>
      </c>
      <c r="E39" s="10">
        <v>367</v>
      </c>
      <c r="F39" s="10">
        <v>55</v>
      </c>
      <c r="G39" s="10">
        <v>1065</v>
      </c>
      <c r="H39" s="14">
        <v>33</v>
      </c>
    </row>
    <row r="40" spans="1:8" x14ac:dyDescent="0.25">
      <c r="A40" s="4" t="s">
        <v>53</v>
      </c>
      <c r="B40" s="10">
        <v>9</v>
      </c>
      <c r="C40" s="10">
        <v>623</v>
      </c>
      <c r="D40" s="10">
        <v>223</v>
      </c>
      <c r="E40" s="10">
        <v>270</v>
      </c>
      <c r="F40" s="10">
        <v>43</v>
      </c>
      <c r="G40" s="10">
        <v>536</v>
      </c>
      <c r="H40" s="14">
        <v>87</v>
      </c>
    </row>
    <row r="41" spans="1:8" x14ac:dyDescent="0.25">
      <c r="A41" s="4" t="s">
        <v>54</v>
      </c>
      <c r="B41" s="10">
        <v>8</v>
      </c>
      <c r="C41" s="10">
        <v>288</v>
      </c>
      <c r="D41" s="10">
        <v>118</v>
      </c>
      <c r="E41" s="10">
        <v>51</v>
      </c>
      <c r="F41" s="10">
        <v>2</v>
      </c>
      <c r="G41" s="10">
        <v>171</v>
      </c>
      <c r="H41" s="14">
        <v>117</v>
      </c>
    </row>
    <row r="42" spans="1:8" x14ac:dyDescent="0.25">
      <c r="A42" s="4" t="s">
        <v>55</v>
      </c>
      <c r="B42" s="10">
        <v>8</v>
      </c>
      <c r="C42" s="10">
        <v>1575</v>
      </c>
      <c r="D42" s="10">
        <v>388</v>
      </c>
      <c r="E42" s="10">
        <v>278</v>
      </c>
      <c r="F42" s="10">
        <v>20</v>
      </c>
      <c r="G42" s="10">
        <v>686</v>
      </c>
      <c r="H42" s="14">
        <v>889</v>
      </c>
    </row>
    <row r="43" spans="1:8" x14ac:dyDescent="0.25">
      <c r="A43" s="4" t="s">
        <v>56</v>
      </c>
      <c r="B43" s="10">
        <v>16</v>
      </c>
      <c r="C43" s="10">
        <v>826</v>
      </c>
      <c r="D43" s="10">
        <v>316</v>
      </c>
      <c r="E43" s="10">
        <v>349</v>
      </c>
      <c r="F43" s="10">
        <v>58</v>
      </c>
      <c r="G43" s="10">
        <v>723</v>
      </c>
      <c r="H43" s="14">
        <v>103</v>
      </c>
    </row>
    <row r="44" spans="1:8" x14ac:dyDescent="0.25">
      <c r="A44" s="4" t="s">
        <v>57</v>
      </c>
      <c r="B44" s="10">
        <v>2</v>
      </c>
      <c r="C44" s="10">
        <v>58</v>
      </c>
      <c r="D44" s="10">
        <v>4</v>
      </c>
      <c r="E44" s="10">
        <v>5</v>
      </c>
      <c r="F44" s="10">
        <v>1</v>
      </c>
      <c r="G44" s="10">
        <v>10</v>
      </c>
      <c r="H44" s="14">
        <v>48</v>
      </c>
    </row>
    <row r="45" spans="1:8" x14ac:dyDescent="0.25">
      <c r="A45" s="4" t="s">
        <v>58</v>
      </c>
      <c r="B45" s="10">
        <v>1</v>
      </c>
      <c r="C45" s="10">
        <v>100</v>
      </c>
      <c r="D45" s="10">
        <v>29</v>
      </c>
      <c r="E45" s="10">
        <v>65</v>
      </c>
      <c r="F45" s="10">
        <v>0</v>
      </c>
      <c r="G45" s="10">
        <v>94</v>
      </c>
      <c r="H45" s="14">
        <v>6</v>
      </c>
    </row>
    <row r="46" spans="1:8" x14ac:dyDescent="0.25">
      <c r="A46" s="4" t="s">
        <v>59</v>
      </c>
      <c r="B46" s="10">
        <v>4</v>
      </c>
      <c r="C46" s="10">
        <v>393</v>
      </c>
      <c r="D46" s="10">
        <v>106</v>
      </c>
      <c r="E46" s="10">
        <v>208</v>
      </c>
      <c r="F46" s="10">
        <v>0</v>
      </c>
      <c r="G46" s="10">
        <v>314</v>
      </c>
      <c r="H46" s="14">
        <v>79</v>
      </c>
    </row>
    <row r="47" spans="1:8" x14ac:dyDescent="0.25">
      <c r="A47" s="4" t="s">
        <v>60</v>
      </c>
      <c r="B47" s="10">
        <v>1</v>
      </c>
      <c r="C47" s="10">
        <v>58</v>
      </c>
      <c r="D47" s="10">
        <v>39</v>
      </c>
      <c r="E47" s="10">
        <v>1</v>
      </c>
      <c r="F47" s="10">
        <v>0</v>
      </c>
      <c r="G47" s="10">
        <v>40</v>
      </c>
      <c r="H47" s="14">
        <v>18</v>
      </c>
    </row>
    <row r="48" spans="1:8" x14ac:dyDescent="0.25">
      <c r="A48" s="4" t="s">
        <v>61</v>
      </c>
      <c r="B48" s="10">
        <v>10</v>
      </c>
      <c r="C48" s="10">
        <v>759</v>
      </c>
      <c r="D48" s="10">
        <v>225</v>
      </c>
      <c r="E48" s="10">
        <v>254</v>
      </c>
      <c r="F48" s="10">
        <v>2</v>
      </c>
      <c r="G48" s="10">
        <v>481</v>
      </c>
      <c r="H48" s="14">
        <v>278</v>
      </c>
    </row>
    <row r="49" spans="1:8" x14ac:dyDescent="0.25">
      <c r="A49" s="4" t="s">
        <v>62</v>
      </c>
      <c r="B49" s="10">
        <v>11</v>
      </c>
      <c r="C49" s="10">
        <v>2036</v>
      </c>
      <c r="D49" s="10">
        <v>628</v>
      </c>
      <c r="E49" s="10">
        <v>499</v>
      </c>
      <c r="F49" s="10">
        <v>80</v>
      </c>
      <c r="G49" s="10">
        <v>1207</v>
      </c>
      <c r="H49" s="14">
        <v>829</v>
      </c>
    </row>
    <row r="50" spans="1:8" x14ac:dyDescent="0.25">
      <c r="A50" s="4" t="s">
        <v>63</v>
      </c>
      <c r="B50" s="10">
        <v>3</v>
      </c>
      <c r="C50" s="10">
        <v>181</v>
      </c>
      <c r="D50" s="10">
        <v>76</v>
      </c>
      <c r="E50" s="10">
        <v>76</v>
      </c>
      <c r="F50" s="10">
        <v>0</v>
      </c>
      <c r="G50" s="10">
        <v>152</v>
      </c>
      <c r="H50" s="14">
        <v>29</v>
      </c>
    </row>
    <row r="51" spans="1:8" x14ac:dyDescent="0.25">
      <c r="A51" s="4" t="s">
        <v>64</v>
      </c>
      <c r="B51" s="10">
        <v>16</v>
      </c>
      <c r="C51" s="10">
        <v>386</v>
      </c>
      <c r="D51" s="10">
        <v>223</v>
      </c>
      <c r="E51" s="10">
        <v>35</v>
      </c>
      <c r="F51" s="10">
        <v>26</v>
      </c>
      <c r="G51" s="10">
        <v>284</v>
      </c>
      <c r="H51" s="14">
        <v>102</v>
      </c>
    </row>
    <row r="52" spans="1:8" x14ac:dyDescent="0.25">
      <c r="A52" s="4" t="s">
        <v>65</v>
      </c>
      <c r="B52" s="10">
        <v>1</v>
      </c>
      <c r="C52" s="10">
        <v>9</v>
      </c>
      <c r="D52" s="10">
        <v>0</v>
      </c>
      <c r="E52" s="10">
        <v>0</v>
      </c>
      <c r="F52" s="10">
        <v>0</v>
      </c>
      <c r="G52" s="10">
        <v>0</v>
      </c>
      <c r="H52" s="14">
        <v>9</v>
      </c>
    </row>
    <row r="53" spans="1:8" x14ac:dyDescent="0.25">
      <c r="A53" s="4" t="s">
        <v>66</v>
      </c>
      <c r="B53" s="10">
        <v>2</v>
      </c>
      <c r="C53" s="10">
        <v>122</v>
      </c>
      <c r="D53" s="10">
        <v>47</v>
      </c>
      <c r="E53" s="10">
        <v>66</v>
      </c>
      <c r="F53" s="10">
        <v>0</v>
      </c>
      <c r="G53" s="10">
        <v>113</v>
      </c>
      <c r="H53" s="14">
        <v>9</v>
      </c>
    </row>
    <row r="54" spans="1:8" x14ac:dyDescent="0.25">
      <c r="A54" s="4" t="s">
        <v>67</v>
      </c>
      <c r="B54" s="10">
        <v>6</v>
      </c>
      <c r="C54" s="10">
        <v>1684</v>
      </c>
      <c r="D54" s="10">
        <v>492</v>
      </c>
      <c r="E54" s="10">
        <v>268</v>
      </c>
      <c r="F54" s="10">
        <v>20</v>
      </c>
      <c r="G54" s="10">
        <v>780</v>
      </c>
      <c r="H54" s="14">
        <v>904</v>
      </c>
    </row>
    <row r="55" spans="1:8" x14ac:dyDescent="0.25">
      <c r="A55" s="4" t="s">
        <v>68</v>
      </c>
      <c r="B55" s="10">
        <v>4</v>
      </c>
      <c r="C55" s="10">
        <v>335</v>
      </c>
      <c r="D55" s="10">
        <v>114</v>
      </c>
      <c r="E55" s="10">
        <v>210</v>
      </c>
      <c r="F55" s="10">
        <v>0</v>
      </c>
      <c r="G55" s="10">
        <v>324</v>
      </c>
      <c r="H55" s="14">
        <v>11</v>
      </c>
    </row>
    <row r="56" spans="1:8" x14ac:dyDescent="0.25">
      <c r="A56" s="4" t="s">
        <v>69</v>
      </c>
      <c r="B56" s="10">
        <v>4</v>
      </c>
      <c r="C56" s="10">
        <v>91</v>
      </c>
      <c r="D56" s="10">
        <v>53</v>
      </c>
      <c r="E56" s="10">
        <v>24</v>
      </c>
      <c r="F56" s="10">
        <v>0</v>
      </c>
      <c r="G56" s="10">
        <v>77</v>
      </c>
      <c r="H56" s="14">
        <v>14</v>
      </c>
    </row>
    <row r="57" spans="1:8" x14ac:dyDescent="0.25">
      <c r="A57" s="4" t="s">
        <v>70</v>
      </c>
      <c r="B57" s="10">
        <v>1</v>
      </c>
      <c r="C57" s="10">
        <v>90</v>
      </c>
      <c r="D57" s="10">
        <v>55</v>
      </c>
      <c r="E57" s="10">
        <v>28</v>
      </c>
      <c r="F57" s="10">
        <v>0</v>
      </c>
      <c r="G57" s="10">
        <v>83</v>
      </c>
      <c r="H57" s="14">
        <v>7</v>
      </c>
    </row>
    <row r="58" spans="1:8" x14ac:dyDescent="0.25">
      <c r="A58" s="15" t="s">
        <v>71</v>
      </c>
      <c r="B58" s="16">
        <v>385</v>
      </c>
      <c r="C58" s="16">
        <v>35574</v>
      </c>
      <c r="D58" s="16">
        <v>9871</v>
      </c>
      <c r="E58" s="16">
        <v>8959</v>
      </c>
      <c r="F58" s="16">
        <v>1237</v>
      </c>
      <c r="G58" s="16">
        <v>20067</v>
      </c>
      <c r="H58" s="17">
        <v>15507</v>
      </c>
    </row>
    <row r="59" spans="1:8" ht="14.1" customHeight="1" x14ac:dyDescent="0.25">
      <c r="A59" s="8"/>
    </row>
    <row r="60" spans="1:8" x14ac:dyDescent="0.25">
      <c r="A60" s="12" t="s">
        <v>151</v>
      </c>
    </row>
  </sheetData>
  <pageMargins left="0.08" right="0.08" top="1" bottom="1" header="0.5" footer="0.5"/>
  <pageSetup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BE699-F47D-48B9-82EF-14F1C18B14F8}">
  <dimension ref="A1:H60"/>
  <sheetViews>
    <sheetView workbookViewId="0">
      <selection activeCell="A20" sqref="A20"/>
    </sheetView>
  </sheetViews>
  <sheetFormatPr defaultRowHeight="15" x14ac:dyDescent="0.25"/>
  <cols>
    <col min="1" max="1" width="11.42578125" style="1" bestFit="1" customWidth="1"/>
    <col min="2" max="8" width="17.140625" style="1" bestFit="1" customWidth="1"/>
    <col min="9" max="16384" width="9.140625" style="1"/>
  </cols>
  <sheetData>
    <row r="1" spans="1:8" ht="39" x14ac:dyDescent="0.25">
      <c r="A1" s="2" t="s">
        <v>72</v>
      </c>
      <c r="B1" s="9" t="s">
        <v>73</v>
      </c>
      <c r="C1" s="9" t="s">
        <v>86</v>
      </c>
      <c r="D1" s="9" t="s">
        <v>87</v>
      </c>
      <c r="E1" s="9" t="s">
        <v>88</v>
      </c>
      <c r="F1" s="9" t="s">
        <v>89</v>
      </c>
      <c r="G1" s="9" t="s">
        <v>90</v>
      </c>
      <c r="H1" s="9" t="s">
        <v>91</v>
      </c>
    </row>
    <row r="2" spans="1:8" x14ac:dyDescent="0.25">
      <c r="A2" s="4" t="s">
        <v>14</v>
      </c>
      <c r="B2" s="10">
        <v>2</v>
      </c>
      <c r="C2" s="10">
        <v>134</v>
      </c>
      <c r="D2" s="10">
        <v>97</v>
      </c>
      <c r="E2" s="10">
        <v>11</v>
      </c>
      <c r="F2" s="10">
        <v>0</v>
      </c>
      <c r="G2" s="10">
        <v>108</v>
      </c>
      <c r="H2" s="10">
        <v>26</v>
      </c>
    </row>
    <row r="3" spans="1:8" x14ac:dyDescent="0.25">
      <c r="A3" s="4" t="s">
        <v>15</v>
      </c>
      <c r="B3" s="10">
        <v>8</v>
      </c>
      <c r="C3" s="10">
        <v>308</v>
      </c>
      <c r="D3" s="10">
        <v>161</v>
      </c>
      <c r="E3" s="10">
        <v>78</v>
      </c>
      <c r="F3" s="10">
        <v>0</v>
      </c>
      <c r="G3" s="10">
        <v>239</v>
      </c>
      <c r="H3" s="10">
        <v>69</v>
      </c>
    </row>
    <row r="4" spans="1:8" x14ac:dyDescent="0.25">
      <c r="A4" s="4" t="s">
        <v>16</v>
      </c>
      <c r="B4" s="10">
        <v>5</v>
      </c>
      <c r="C4" s="10">
        <v>92</v>
      </c>
      <c r="D4" s="10">
        <v>28</v>
      </c>
      <c r="E4" s="10">
        <v>29</v>
      </c>
      <c r="F4" s="10">
        <v>0</v>
      </c>
      <c r="G4" s="10">
        <v>57</v>
      </c>
      <c r="H4" s="10">
        <v>35</v>
      </c>
    </row>
    <row r="5" spans="1:8" x14ac:dyDescent="0.25">
      <c r="A5" s="4" t="s">
        <v>17</v>
      </c>
      <c r="B5" s="10">
        <v>0</v>
      </c>
      <c r="C5" s="10" t="s">
        <v>18</v>
      </c>
      <c r="D5" s="10" t="s">
        <v>18</v>
      </c>
      <c r="E5" s="10" t="s">
        <v>18</v>
      </c>
      <c r="F5" s="10" t="s">
        <v>18</v>
      </c>
      <c r="G5" s="10" t="s">
        <v>18</v>
      </c>
      <c r="H5" s="10" t="s">
        <v>18</v>
      </c>
    </row>
    <row r="6" spans="1:8" x14ac:dyDescent="0.25">
      <c r="A6" s="4" t="s">
        <v>19</v>
      </c>
      <c r="B6" s="10">
        <v>3</v>
      </c>
      <c r="C6" s="10">
        <v>857</v>
      </c>
      <c r="D6" s="10">
        <v>156</v>
      </c>
      <c r="E6" s="10">
        <v>313</v>
      </c>
      <c r="F6" s="10">
        <v>60</v>
      </c>
      <c r="G6" s="10">
        <v>529</v>
      </c>
      <c r="H6" s="10">
        <v>328</v>
      </c>
    </row>
    <row r="7" spans="1:8" x14ac:dyDescent="0.25">
      <c r="A7" s="4" t="s">
        <v>20</v>
      </c>
      <c r="B7" s="10">
        <v>44</v>
      </c>
      <c r="C7" s="10">
        <v>10395</v>
      </c>
      <c r="D7" s="10">
        <v>1394</v>
      </c>
      <c r="E7" s="10">
        <v>1373</v>
      </c>
      <c r="F7" s="10">
        <v>236</v>
      </c>
      <c r="G7" s="10">
        <v>3003</v>
      </c>
      <c r="H7" s="10">
        <v>7392</v>
      </c>
    </row>
    <row r="8" spans="1:8" x14ac:dyDescent="0.25">
      <c r="A8" s="4" t="s">
        <v>21</v>
      </c>
      <c r="B8" s="10">
        <v>4</v>
      </c>
      <c r="C8" s="10">
        <v>738</v>
      </c>
      <c r="D8" s="10">
        <v>316</v>
      </c>
      <c r="E8" s="10">
        <v>195</v>
      </c>
      <c r="F8" s="10">
        <v>14</v>
      </c>
      <c r="G8" s="10">
        <v>525</v>
      </c>
      <c r="H8" s="10">
        <v>213</v>
      </c>
    </row>
    <row r="9" spans="1:8" x14ac:dyDescent="0.25">
      <c r="A9" s="4" t="s">
        <v>22</v>
      </c>
      <c r="B9" s="10">
        <v>2</v>
      </c>
      <c r="C9" s="10">
        <v>149</v>
      </c>
      <c r="D9" s="10">
        <v>48</v>
      </c>
      <c r="E9" s="10">
        <v>79</v>
      </c>
      <c r="F9" s="10">
        <v>13</v>
      </c>
      <c r="G9" s="10">
        <v>140</v>
      </c>
      <c r="H9" s="10">
        <v>9</v>
      </c>
    </row>
    <row r="10" spans="1:8" x14ac:dyDescent="0.25">
      <c r="A10" s="4" t="s">
        <v>23</v>
      </c>
      <c r="B10" s="10">
        <v>1</v>
      </c>
      <c r="C10" s="10">
        <v>208</v>
      </c>
      <c r="D10" s="10">
        <v>100</v>
      </c>
      <c r="E10" s="10">
        <v>65</v>
      </c>
      <c r="F10" s="10">
        <v>7</v>
      </c>
      <c r="G10" s="10">
        <v>172</v>
      </c>
      <c r="H10" s="10">
        <v>36</v>
      </c>
    </row>
    <row r="11" spans="1:8" x14ac:dyDescent="0.25">
      <c r="A11" s="4" t="s">
        <v>24</v>
      </c>
      <c r="B11" s="10">
        <v>1</v>
      </c>
      <c r="C11" s="10">
        <v>93</v>
      </c>
      <c r="D11" s="10">
        <v>54</v>
      </c>
      <c r="E11" s="10">
        <v>35</v>
      </c>
      <c r="F11" s="10">
        <v>0</v>
      </c>
      <c r="G11" s="10">
        <v>89</v>
      </c>
      <c r="H11" s="10">
        <v>4</v>
      </c>
    </row>
    <row r="12" spans="1:8" x14ac:dyDescent="0.25">
      <c r="A12" s="4" t="s">
        <v>25</v>
      </c>
      <c r="B12" s="10">
        <v>27</v>
      </c>
      <c r="C12" s="10">
        <v>2279</v>
      </c>
      <c r="D12" s="10">
        <v>645</v>
      </c>
      <c r="E12" s="10">
        <v>752</v>
      </c>
      <c r="F12" s="10">
        <v>89</v>
      </c>
      <c r="G12" s="10">
        <v>1486</v>
      </c>
      <c r="H12" s="10">
        <v>793</v>
      </c>
    </row>
    <row r="13" spans="1:8" x14ac:dyDescent="0.25">
      <c r="A13" s="4" t="s">
        <v>26</v>
      </c>
      <c r="B13" s="10">
        <v>9</v>
      </c>
      <c r="C13" s="10">
        <v>664</v>
      </c>
      <c r="D13" s="10">
        <v>138</v>
      </c>
      <c r="E13" s="10">
        <v>161</v>
      </c>
      <c r="F13" s="10">
        <v>0</v>
      </c>
      <c r="G13" s="10">
        <v>299</v>
      </c>
      <c r="H13" s="10">
        <v>365</v>
      </c>
    </row>
    <row r="14" spans="1:8" x14ac:dyDescent="0.25">
      <c r="A14" s="4" t="s">
        <v>27</v>
      </c>
      <c r="B14" s="10">
        <v>1</v>
      </c>
      <c r="C14" s="10">
        <v>31</v>
      </c>
      <c r="D14" s="10">
        <v>10</v>
      </c>
      <c r="E14" s="10">
        <v>0</v>
      </c>
      <c r="F14" s="10">
        <v>0</v>
      </c>
      <c r="G14" s="10">
        <v>10</v>
      </c>
      <c r="H14" s="10">
        <v>21</v>
      </c>
    </row>
    <row r="15" spans="1:8" x14ac:dyDescent="0.25">
      <c r="A15" s="4" t="s">
        <v>28</v>
      </c>
      <c r="B15" s="10">
        <v>2</v>
      </c>
      <c r="C15" s="10">
        <v>306</v>
      </c>
      <c r="D15" s="10">
        <v>73</v>
      </c>
      <c r="E15" s="10">
        <v>39</v>
      </c>
      <c r="F15" s="10">
        <v>35</v>
      </c>
      <c r="G15" s="10">
        <v>147</v>
      </c>
      <c r="H15" s="10">
        <v>159</v>
      </c>
    </row>
    <row r="16" spans="1:8" x14ac:dyDescent="0.25">
      <c r="A16" s="4" t="s">
        <v>29</v>
      </c>
      <c r="B16" s="10">
        <v>3</v>
      </c>
      <c r="C16" s="10">
        <v>141</v>
      </c>
      <c r="D16" s="10">
        <v>71</v>
      </c>
      <c r="E16" s="10">
        <v>29</v>
      </c>
      <c r="F16" s="10">
        <v>23</v>
      </c>
      <c r="G16" s="10">
        <v>123</v>
      </c>
      <c r="H16" s="10">
        <v>18</v>
      </c>
    </row>
    <row r="17" spans="1:8" x14ac:dyDescent="0.25">
      <c r="A17" s="4" t="s">
        <v>30</v>
      </c>
      <c r="B17" s="10">
        <v>2</v>
      </c>
      <c r="C17" s="10">
        <v>149</v>
      </c>
      <c r="D17" s="10">
        <v>62</v>
      </c>
      <c r="E17" s="10">
        <v>51</v>
      </c>
      <c r="F17" s="10">
        <v>0</v>
      </c>
      <c r="G17" s="10">
        <v>113</v>
      </c>
      <c r="H17" s="10">
        <v>36</v>
      </c>
    </row>
    <row r="18" spans="1:8" x14ac:dyDescent="0.25">
      <c r="A18" s="4" t="s">
        <v>31</v>
      </c>
      <c r="B18" s="10">
        <v>19</v>
      </c>
      <c r="C18" s="10">
        <v>524</v>
      </c>
      <c r="D18" s="10">
        <v>183</v>
      </c>
      <c r="E18" s="10">
        <v>185</v>
      </c>
      <c r="F18" s="10">
        <v>27</v>
      </c>
      <c r="G18" s="10">
        <v>395</v>
      </c>
      <c r="H18" s="10">
        <v>129</v>
      </c>
    </row>
    <row r="19" spans="1:8" x14ac:dyDescent="0.25">
      <c r="A19" s="4" t="s">
        <v>32</v>
      </c>
      <c r="B19" s="10">
        <v>2</v>
      </c>
      <c r="C19" s="10">
        <v>482</v>
      </c>
      <c r="D19" s="10">
        <v>234</v>
      </c>
      <c r="E19" s="10">
        <v>191</v>
      </c>
      <c r="F19" s="10">
        <v>18</v>
      </c>
      <c r="G19" s="10">
        <v>443</v>
      </c>
      <c r="H19" s="10">
        <v>39</v>
      </c>
    </row>
    <row r="20" spans="1:8" x14ac:dyDescent="0.25">
      <c r="A20" s="4" t="s">
        <v>149</v>
      </c>
      <c r="B20" s="10">
        <v>5</v>
      </c>
      <c r="C20" s="10">
        <v>218</v>
      </c>
      <c r="D20" s="10">
        <v>121</v>
      </c>
      <c r="E20" s="10">
        <v>31</v>
      </c>
      <c r="F20" s="10">
        <v>11</v>
      </c>
      <c r="G20" s="10">
        <v>163</v>
      </c>
      <c r="H20" s="10">
        <v>55</v>
      </c>
    </row>
    <row r="21" spans="1:8" x14ac:dyDescent="0.25">
      <c r="A21" s="4" t="s">
        <v>34</v>
      </c>
      <c r="B21" s="10">
        <v>3</v>
      </c>
      <c r="C21" s="10">
        <v>328</v>
      </c>
      <c r="D21" s="10">
        <v>112</v>
      </c>
      <c r="E21" s="10">
        <v>173</v>
      </c>
      <c r="F21" s="10">
        <v>0</v>
      </c>
      <c r="G21" s="10">
        <v>285</v>
      </c>
      <c r="H21" s="10">
        <v>43</v>
      </c>
    </row>
    <row r="22" spans="1:8" x14ac:dyDescent="0.25">
      <c r="A22" s="4" t="s">
        <v>35</v>
      </c>
      <c r="B22" s="10">
        <v>7</v>
      </c>
      <c r="C22" s="10">
        <v>322</v>
      </c>
      <c r="D22" s="10">
        <v>124</v>
      </c>
      <c r="E22" s="10">
        <v>120</v>
      </c>
      <c r="F22" s="10">
        <v>26</v>
      </c>
      <c r="G22" s="10">
        <v>270</v>
      </c>
      <c r="H22" s="10">
        <v>52</v>
      </c>
    </row>
    <row r="23" spans="1:8" x14ac:dyDescent="0.25">
      <c r="A23" s="4" t="s">
        <v>36</v>
      </c>
      <c r="B23" s="10">
        <v>12</v>
      </c>
      <c r="C23" s="10">
        <v>534</v>
      </c>
      <c r="D23" s="10">
        <v>163</v>
      </c>
      <c r="E23" s="10">
        <v>293</v>
      </c>
      <c r="F23" s="10">
        <v>51</v>
      </c>
      <c r="G23" s="10">
        <v>507</v>
      </c>
      <c r="H23" s="10">
        <v>27</v>
      </c>
    </row>
    <row r="24" spans="1:8" x14ac:dyDescent="0.25">
      <c r="A24" s="4" t="s">
        <v>37</v>
      </c>
      <c r="B24" s="10">
        <v>11</v>
      </c>
      <c r="C24" s="10">
        <v>303</v>
      </c>
      <c r="D24" s="10">
        <v>112</v>
      </c>
      <c r="E24" s="10">
        <v>141</v>
      </c>
      <c r="F24" s="10">
        <v>10</v>
      </c>
      <c r="G24" s="10">
        <v>263</v>
      </c>
      <c r="H24" s="10">
        <v>40</v>
      </c>
    </row>
    <row r="25" spans="1:8" x14ac:dyDescent="0.25">
      <c r="A25" s="4" t="s">
        <v>38</v>
      </c>
      <c r="B25" s="10">
        <v>1</v>
      </c>
      <c r="C25" s="10">
        <v>243</v>
      </c>
      <c r="D25" s="10">
        <v>189</v>
      </c>
      <c r="E25" s="10">
        <v>47</v>
      </c>
      <c r="F25" s="10">
        <v>1</v>
      </c>
      <c r="G25" s="10">
        <v>237</v>
      </c>
      <c r="H25" s="10">
        <v>6</v>
      </c>
    </row>
    <row r="26" spans="1:8" x14ac:dyDescent="0.25">
      <c r="A26" s="4" t="s">
        <v>39</v>
      </c>
      <c r="B26" s="10">
        <v>20</v>
      </c>
      <c r="C26" s="10">
        <v>498</v>
      </c>
      <c r="D26" s="10">
        <v>264</v>
      </c>
      <c r="E26" s="10">
        <v>168</v>
      </c>
      <c r="F26" s="10">
        <v>31</v>
      </c>
      <c r="G26" s="10">
        <v>463</v>
      </c>
      <c r="H26" s="10">
        <v>35</v>
      </c>
    </row>
    <row r="27" spans="1:8" x14ac:dyDescent="0.25">
      <c r="A27" s="4" t="s">
        <v>40</v>
      </c>
      <c r="B27" s="10">
        <v>10</v>
      </c>
      <c r="C27" s="10">
        <v>290</v>
      </c>
      <c r="D27" s="10">
        <v>162</v>
      </c>
      <c r="E27" s="10">
        <v>95</v>
      </c>
      <c r="F27" s="10">
        <v>0</v>
      </c>
      <c r="G27" s="10">
        <v>257</v>
      </c>
      <c r="H27" s="10">
        <v>33</v>
      </c>
    </row>
    <row r="28" spans="1:8" x14ac:dyDescent="0.25">
      <c r="A28" s="4" t="s">
        <v>41</v>
      </c>
      <c r="B28" s="10">
        <v>8</v>
      </c>
      <c r="C28" s="10">
        <v>476</v>
      </c>
      <c r="D28" s="10">
        <v>183</v>
      </c>
      <c r="E28" s="10">
        <v>190</v>
      </c>
      <c r="F28" s="10">
        <v>16</v>
      </c>
      <c r="G28" s="10">
        <v>389</v>
      </c>
      <c r="H28" s="10">
        <v>87</v>
      </c>
    </row>
    <row r="29" spans="1:8" x14ac:dyDescent="0.25">
      <c r="A29" s="4" t="s">
        <v>42</v>
      </c>
      <c r="B29" s="10">
        <v>1</v>
      </c>
      <c r="C29" s="10">
        <v>9</v>
      </c>
      <c r="D29" s="10">
        <v>0</v>
      </c>
      <c r="E29" s="10">
        <v>0</v>
      </c>
      <c r="F29" s="10">
        <v>0</v>
      </c>
      <c r="G29" s="10">
        <v>0</v>
      </c>
      <c r="H29" s="10">
        <v>9</v>
      </c>
    </row>
    <row r="30" spans="1:8" x14ac:dyDescent="0.25">
      <c r="A30" s="4" t="s">
        <v>43</v>
      </c>
      <c r="B30" s="10">
        <v>3</v>
      </c>
      <c r="C30" s="10">
        <v>139</v>
      </c>
      <c r="D30" s="10">
        <v>16</v>
      </c>
      <c r="E30" s="10">
        <v>19</v>
      </c>
      <c r="F30" s="10">
        <v>0</v>
      </c>
      <c r="G30" s="10">
        <v>35</v>
      </c>
      <c r="H30" s="10">
        <v>104</v>
      </c>
    </row>
    <row r="31" spans="1:8" x14ac:dyDescent="0.25">
      <c r="A31" s="4" t="s">
        <v>44</v>
      </c>
      <c r="B31" s="10">
        <v>1</v>
      </c>
      <c r="C31" s="10">
        <v>172</v>
      </c>
      <c r="D31" s="10">
        <v>121</v>
      </c>
      <c r="E31" s="10">
        <v>21</v>
      </c>
      <c r="F31" s="10">
        <v>0</v>
      </c>
      <c r="G31" s="10">
        <v>142</v>
      </c>
      <c r="H31" s="10">
        <v>30</v>
      </c>
    </row>
    <row r="32" spans="1:8" x14ac:dyDescent="0.25">
      <c r="A32" s="4" t="s">
        <v>45</v>
      </c>
      <c r="B32" s="10">
        <v>12</v>
      </c>
      <c r="C32" s="10">
        <v>687</v>
      </c>
      <c r="D32" s="10">
        <v>274</v>
      </c>
      <c r="E32" s="10">
        <v>264</v>
      </c>
      <c r="F32" s="10">
        <v>11</v>
      </c>
      <c r="G32" s="10">
        <v>549</v>
      </c>
      <c r="H32" s="10">
        <v>138</v>
      </c>
    </row>
    <row r="33" spans="1:8" x14ac:dyDescent="0.25">
      <c r="A33" s="4" t="s">
        <v>46</v>
      </c>
      <c r="B33" s="10">
        <v>1</v>
      </c>
      <c r="C33" s="10">
        <v>37</v>
      </c>
      <c r="D33" s="10">
        <v>19</v>
      </c>
      <c r="E33" s="10">
        <v>1</v>
      </c>
      <c r="F33" s="10">
        <v>16</v>
      </c>
      <c r="G33" s="10">
        <v>36</v>
      </c>
      <c r="H33" s="10">
        <v>1</v>
      </c>
    </row>
    <row r="34" spans="1:8" x14ac:dyDescent="0.25">
      <c r="A34" s="4" t="s">
        <v>47</v>
      </c>
      <c r="B34" s="10">
        <v>3</v>
      </c>
      <c r="C34" s="10">
        <v>145</v>
      </c>
      <c r="D34" s="10">
        <v>108</v>
      </c>
      <c r="E34" s="10">
        <v>32</v>
      </c>
      <c r="F34" s="10">
        <v>0</v>
      </c>
      <c r="G34" s="10">
        <v>140</v>
      </c>
      <c r="H34" s="10">
        <v>5</v>
      </c>
    </row>
    <row r="35" spans="1:8" x14ac:dyDescent="0.25">
      <c r="A35" s="4" t="s">
        <v>48</v>
      </c>
      <c r="B35" s="10">
        <v>3</v>
      </c>
      <c r="C35" s="10">
        <v>127</v>
      </c>
      <c r="D35" s="10">
        <v>51</v>
      </c>
      <c r="E35" s="10">
        <v>63</v>
      </c>
      <c r="F35" s="10">
        <v>1</v>
      </c>
      <c r="G35" s="10">
        <v>115</v>
      </c>
      <c r="H35" s="10">
        <v>12</v>
      </c>
    </row>
    <row r="36" spans="1:8" x14ac:dyDescent="0.25">
      <c r="A36" s="4" t="s">
        <v>49</v>
      </c>
      <c r="B36" s="10">
        <v>16</v>
      </c>
      <c r="C36" s="10">
        <v>479</v>
      </c>
      <c r="D36" s="10">
        <v>233</v>
      </c>
      <c r="E36" s="10">
        <v>200</v>
      </c>
      <c r="F36" s="10">
        <v>0</v>
      </c>
      <c r="G36" s="10">
        <v>433</v>
      </c>
      <c r="H36" s="10">
        <v>46</v>
      </c>
    </row>
    <row r="37" spans="1:8" x14ac:dyDescent="0.25">
      <c r="A37" s="4" t="s">
        <v>50</v>
      </c>
      <c r="B37" s="10">
        <v>2</v>
      </c>
      <c r="C37" s="10">
        <v>91</v>
      </c>
      <c r="D37" s="10">
        <v>52</v>
      </c>
      <c r="E37" s="10">
        <v>19</v>
      </c>
      <c r="F37" s="10">
        <v>0</v>
      </c>
      <c r="G37" s="10">
        <v>71</v>
      </c>
      <c r="H37" s="10">
        <v>20</v>
      </c>
    </row>
    <row r="38" spans="1:8" x14ac:dyDescent="0.25">
      <c r="A38" s="4" t="s">
        <v>51</v>
      </c>
      <c r="B38" s="10">
        <v>3</v>
      </c>
      <c r="C38" s="10">
        <v>752</v>
      </c>
      <c r="D38" s="10">
        <v>221</v>
      </c>
      <c r="E38" s="10">
        <v>324</v>
      </c>
      <c r="F38" s="10">
        <v>0</v>
      </c>
      <c r="G38" s="10">
        <v>545</v>
      </c>
      <c r="H38" s="10">
        <v>207</v>
      </c>
    </row>
    <row r="39" spans="1:8" x14ac:dyDescent="0.25">
      <c r="A39" s="4" t="s">
        <v>52</v>
      </c>
      <c r="B39" s="10">
        <v>24</v>
      </c>
      <c r="C39" s="10">
        <v>990</v>
      </c>
      <c r="D39" s="10">
        <v>573</v>
      </c>
      <c r="E39" s="10">
        <v>338</v>
      </c>
      <c r="F39" s="10">
        <v>54</v>
      </c>
      <c r="G39" s="10">
        <v>965</v>
      </c>
      <c r="H39" s="10">
        <v>25</v>
      </c>
    </row>
    <row r="40" spans="1:8" x14ac:dyDescent="0.25">
      <c r="A40" s="4" t="s">
        <v>53</v>
      </c>
      <c r="B40" s="10">
        <v>9</v>
      </c>
      <c r="C40" s="10">
        <v>633</v>
      </c>
      <c r="D40" s="10">
        <v>251</v>
      </c>
      <c r="E40" s="10">
        <v>252</v>
      </c>
      <c r="F40" s="10">
        <v>40</v>
      </c>
      <c r="G40" s="10">
        <v>543</v>
      </c>
      <c r="H40" s="10">
        <v>90</v>
      </c>
    </row>
    <row r="41" spans="1:8" x14ac:dyDescent="0.25">
      <c r="A41" s="4" t="s">
        <v>54</v>
      </c>
      <c r="B41" s="10">
        <v>8</v>
      </c>
      <c r="C41" s="10">
        <v>273</v>
      </c>
      <c r="D41" s="10">
        <v>102</v>
      </c>
      <c r="E41" s="10">
        <v>44</v>
      </c>
      <c r="F41" s="10">
        <v>2</v>
      </c>
      <c r="G41" s="10">
        <v>148</v>
      </c>
      <c r="H41" s="10">
        <v>125</v>
      </c>
    </row>
    <row r="42" spans="1:8" x14ac:dyDescent="0.25">
      <c r="A42" s="4" t="s">
        <v>55</v>
      </c>
      <c r="B42" s="10">
        <v>8</v>
      </c>
      <c r="C42" s="10">
        <v>1460</v>
      </c>
      <c r="D42" s="10">
        <v>384</v>
      </c>
      <c r="E42" s="10">
        <v>334</v>
      </c>
      <c r="F42" s="10">
        <v>23</v>
      </c>
      <c r="G42" s="10">
        <v>741</v>
      </c>
      <c r="H42" s="10">
        <v>719</v>
      </c>
    </row>
    <row r="43" spans="1:8" x14ac:dyDescent="0.25">
      <c r="A43" s="4" t="s">
        <v>56</v>
      </c>
      <c r="B43" s="10">
        <v>16</v>
      </c>
      <c r="C43" s="10">
        <v>778</v>
      </c>
      <c r="D43" s="10">
        <v>359</v>
      </c>
      <c r="E43" s="10">
        <v>334</v>
      </c>
      <c r="F43" s="10">
        <v>53</v>
      </c>
      <c r="G43" s="10">
        <v>746</v>
      </c>
      <c r="H43" s="10">
        <v>32</v>
      </c>
    </row>
    <row r="44" spans="1:8" x14ac:dyDescent="0.25">
      <c r="A44" s="4" t="s">
        <v>57</v>
      </c>
      <c r="B44" s="10">
        <v>2</v>
      </c>
      <c r="C44" s="10">
        <v>70</v>
      </c>
      <c r="D44" s="10">
        <v>1</v>
      </c>
      <c r="E44" s="10">
        <v>12</v>
      </c>
      <c r="F44" s="10">
        <v>0</v>
      </c>
      <c r="G44" s="10">
        <v>13</v>
      </c>
      <c r="H44" s="10">
        <v>57</v>
      </c>
    </row>
    <row r="45" spans="1:8" x14ac:dyDescent="0.25">
      <c r="A45" s="4" t="s">
        <v>58</v>
      </c>
      <c r="B45" s="10">
        <v>1</v>
      </c>
      <c r="C45" s="10">
        <v>113</v>
      </c>
      <c r="D45" s="10">
        <v>33</v>
      </c>
      <c r="E45" s="10">
        <v>71</v>
      </c>
      <c r="F45" s="10">
        <v>0</v>
      </c>
      <c r="G45" s="10">
        <v>104</v>
      </c>
      <c r="H45" s="10">
        <v>9</v>
      </c>
    </row>
    <row r="46" spans="1:8" x14ac:dyDescent="0.25">
      <c r="A46" s="4" t="s">
        <v>59</v>
      </c>
      <c r="B46" s="10">
        <v>4</v>
      </c>
      <c r="C46" s="10">
        <v>359</v>
      </c>
      <c r="D46" s="10">
        <v>133</v>
      </c>
      <c r="E46" s="10">
        <v>149</v>
      </c>
      <c r="F46" s="10">
        <v>0</v>
      </c>
      <c r="G46" s="10">
        <v>282</v>
      </c>
      <c r="H46" s="10">
        <v>77</v>
      </c>
    </row>
    <row r="47" spans="1:8" x14ac:dyDescent="0.25">
      <c r="A47" s="4" t="s">
        <v>60</v>
      </c>
      <c r="B47" s="10">
        <v>1</v>
      </c>
      <c r="C47" s="10">
        <v>40</v>
      </c>
      <c r="D47" s="10">
        <v>30</v>
      </c>
      <c r="E47" s="10">
        <v>8</v>
      </c>
      <c r="F47" s="10">
        <v>0</v>
      </c>
      <c r="G47" s="10">
        <v>38</v>
      </c>
      <c r="H47" s="10">
        <v>2</v>
      </c>
    </row>
    <row r="48" spans="1:8" x14ac:dyDescent="0.25">
      <c r="A48" s="4" t="s">
        <v>61</v>
      </c>
      <c r="B48" s="10">
        <v>10</v>
      </c>
      <c r="C48" s="10">
        <v>549</v>
      </c>
      <c r="D48" s="10">
        <v>159</v>
      </c>
      <c r="E48" s="10">
        <v>204</v>
      </c>
      <c r="F48" s="10">
        <v>1</v>
      </c>
      <c r="G48" s="10">
        <v>364</v>
      </c>
      <c r="H48" s="10">
        <v>185</v>
      </c>
    </row>
    <row r="49" spans="1:8" x14ac:dyDescent="0.25">
      <c r="A49" s="4" t="s">
        <v>62</v>
      </c>
      <c r="B49" s="10">
        <v>11</v>
      </c>
      <c r="C49" s="10">
        <v>1711</v>
      </c>
      <c r="D49" s="10">
        <v>641</v>
      </c>
      <c r="E49" s="10">
        <v>364</v>
      </c>
      <c r="F49" s="10">
        <v>73</v>
      </c>
      <c r="G49" s="10">
        <v>1078</v>
      </c>
      <c r="H49" s="10">
        <v>633</v>
      </c>
    </row>
    <row r="50" spans="1:8" x14ac:dyDescent="0.25">
      <c r="A50" s="4" t="s">
        <v>63</v>
      </c>
      <c r="B50" s="10">
        <v>3</v>
      </c>
      <c r="C50" s="10">
        <v>155</v>
      </c>
      <c r="D50" s="10">
        <v>58</v>
      </c>
      <c r="E50" s="10">
        <v>58</v>
      </c>
      <c r="F50" s="10">
        <v>0</v>
      </c>
      <c r="G50" s="10">
        <v>116</v>
      </c>
      <c r="H50" s="10">
        <v>39</v>
      </c>
    </row>
    <row r="51" spans="1:8" x14ac:dyDescent="0.25">
      <c r="A51" s="4" t="s">
        <v>64</v>
      </c>
      <c r="B51" s="10">
        <v>16</v>
      </c>
      <c r="C51" s="10">
        <v>392</v>
      </c>
      <c r="D51" s="10">
        <v>289</v>
      </c>
      <c r="E51" s="10">
        <v>29</v>
      </c>
      <c r="F51" s="10">
        <v>27</v>
      </c>
      <c r="G51" s="10">
        <v>345</v>
      </c>
      <c r="H51" s="10">
        <v>47</v>
      </c>
    </row>
    <row r="52" spans="1:8" x14ac:dyDescent="0.25">
      <c r="A52" s="4" t="s">
        <v>65</v>
      </c>
      <c r="B52" s="10">
        <v>1</v>
      </c>
      <c r="C52" s="10">
        <v>6</v>
      </c>
      <c r="D52" s="10">
        <v>0</v>
      </c>
      <c r="E52" s="10">
        <v>0</v>
      </c>
      <c r="F52" s="10">
        <v>0</v>
      </c>
      <c r="G52" s="10">
        <v>0</v>
      </c>
      <c r="H52" s="10">
        <v>6</v>
      </c>
    </row>
    <row r="53" spans="1:8" x14ac:dyDescent="0.25">
      <c r="A53" s="4" t="s">
        <v>66</v>
      </c>
      <c r="B53" s="10">
        <v>2</v>
      </c>
      <c r="C53" s="10">
        <v>100</v>
      </c>
      <c r="D53" s="10">
        <v>63</v>
      </c>
      <c r="E53" s="10">
        <v>33</v>
      </c>
      <c r="F53" s="10">
        <v>0</v>
      </c>
      <c r="G53" s="10">
        <v>96</v>
      </c>
      <c r="H53" s="10">
        <v>4</v>
      </c>
    </row>
    <row r="54" spans="1:8" x14ac:dyDescent="0.25">
      <c r="A54" s="4" t="s">
        <v>67</v>
      </c>
      <c r="B54" s="10">
        <v>6</v>
      </c>
      <c r="C54" s="10">
        <v>1569</v>
      </c>
      <c r="D54" s="10">
        <v>444</v>
      </c>
      <c r="E54" s="10">
        <v>246</v>
      </c>
      <c r="F54" s="10">
        <v>15</v>
      </c>
      <c r="G54" s="10">
        <v>705</v>
      </c>
      <c r="H54" s="10">
        <v>864</v>
      </c>
    </row>
    <row r="55" spans="1:8" x14ac:dyDescent="0.25">
      <c r="A55" s="4" t="s">
        <v>68</v>
      </c>
      <c r="B55" s="10">
        <v>4</v>
      </c>
      <c r="C55" s="10">
        <v>341</v>
      </c>
      <c r="D55" s="10">
        <v>123</v>
      </c>
      <c r="E55" s="10">
        <v>212</v>
      </c>
      <c r="F55" s="10">
        <v>1</v>
      </c>
      <c r="G55" s="10">
        <v>336</v>
      </c>
      <c r="H55" s="10">
        <v>5</v>
      </c>
    </row>
    <row r="56" spans="1:8" x14ac:dyDescent="0.25">
      <c r="A56" s="4" t="s">
        <v>69</v>
      </c>
      <c r="B56" s="10">
        <v>4</v>
      </c>
      <c r="C56" s="10">
        <v>122</v>
      </c>
      <c r="D56" s="10">
        <v>70</v>
      </c>
      <c r="E56" s="10">
        <v>35</v>
      </c>
      <c r="F56" s="10">
        <v>0</v>
      </c>
      <c r="G56" s="10">
        <v>105</v>
      </c>
      <c r="H56" s="10">
        <v>17</v>
      </c>
    </row>
    <row r="57" spans="1:8" x14ac:dyDescent="0.25">
      <c r="A57" s="4" t="s">
        <v>70</v>
      </c>
      <c r="B57" s="10">
        <v>1</v>
      </c>
      <c r="C57" s="10">
        <v>68</v>
      </c>
      <c r="D57" s="10">
        <v>42</v>
      </c>
      <c r="E57" s="10">
        <v>20</v>
      </c>
      <c r="F57" s="10">
        <v>0</v>
      </c>
      <c r="G57" s="10">
        <v>62</v>
      </c>
      <c r="H57" s="10">
        <v>6</v>
      </c>
    </row>
    <row r="58" spans="1:8" x14ac:dyDescent="0.25">
      <c r="A58" s="6" t="s">
        <v>71</v>
      </c>
      <c r="B58" s="11">
        <v>387</v>
      </c>
      <c r="C58" s="11">
        <v>33129</v>
      </c>
      <c r="D58" s="11">
        <v>10050</v>
      </c>
      <c r="E58" s="11">
        <v>8530</v>
      </c>
      <c r="F58" s="11">
        <v>985</v>
      </c>
      <c r="G58" s="11">
        <v>19565</v>
      </c>
      <c r="H58" s="11">
        <v>13564</v>
      </c>
    </row>
    <row r="59" spans="1:8" ht="14.1" customHeight="1" x14ac:dyDescent="0.25">
      <c r="A59" s="8"/>
    </row>
    <row r="60" spans="1:8" x14ac:dyDescent="0.25">
      <c r="A60" s="12" t="s">
        <v>151</v>
      </c>
    </row>
  </sheetData>
  <pageMargins left="0.08" right="0.08"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154BF-8C5F-4D5C-9200-BE9660EE53A7}">
  <dimension ref="A1:H60"/>
  <sheetViews>
    <sheetView workbookViewId="0">
      <selection activeCell="A20" sqref="A20"/>
    </sheetView>
  </sheetViews>
  <sheetFormatPr defaultRowHeight="15" x14ac:dyDescent="0.25"/>
  <cols>
    <col min="1" max="1" width="11.42578125" style="1" bestFit="1" customWidth="1"/>
    <col min="2" max="8" width="17.140625" style="1" bestFit="1" customWidth="1"/>
    <col min="9" max="16384" width="9.140625" style="1"/>
  </cols>
  <sheetData>
    <row r="1" spans="1:8" ht="39" x14ac:dyDescent="0.25">
      <c r="A1" s="2" t="s">
        <v>72</v>
      </c>
      <c r="B1" s="9" t="s">
        <v>73</v>
      </c>
      <c r="C1" s="9" t="s">
        <v>92</v>
      </c>
      <c r="D1" s="9" t="s">
        <v>93</v>
      </c>
      <c r="E1" s="9" t="s">
        <v>94</v>
      </c>
      <c r="F1" s="9" t="s">
        <v>95</v>
      </c>
      <c r="G1" s="9" t="s">
        <v>96</v>
      </c>
      <c r="H1" s="9" t="s">
        <v>97</v>
      </c>
    </row>
    <row r="2" spans="1:8" x14ac:dyDescent="0.25">
      <c r="A2" s="4" t="s">
        <v>14</v>
      </c>
      <c r="B2" s="10">
        <v>2</v>
      </c>
      <c r="C2" s="10">
        <v>36</v>
      </c>
      <c r="D2" s="10">
        <v>21</v>
      </c>
      <c r="E2" s="10">
        <v>15</v>
      </c>
      <c r="F2" s="10">
        <v>0</v>
      </c>
      <c r="G2" s="10">
        <v>36</v>
      </c>
      <c r="H2" s="10">
        <v>0</v>
      </c>
    </row>
    <row r="3" spans="1:8" x14ac:dyDescent="0.25">
      <c r="A3" s="4" t="s">
        <v>15</v>
      </c>
      <c r="B3" s="10">
        <v>8</v>
      </c>
      <c r="C3" s="10">
        <v>241</v>
      </c>
      <c r="D3" s="10">
        <v>149</v>
      </c>
      <c r="E3" s="10">
        <v>62</v>
      </c>
      <c r="F3" s="10">
        <v>0</v>
      </c>
      <c r="G3" s="10">
        <v>211</v>
      </c>
      <c r="H3" s="10">
        <v>30</v>
      </c>
    </row>
    <row r="4" spans="1:8" x14ac:dyDescent="0.25">
      <c r="A4" s="4" t="s">
        <v>16</v>
      </c>
      <c r="B4" s="10">
        <v>5</v>
      </c>
      <c r="C4" s="10">
        <v>102</v>
      </c>
      <c r="D4" s="10">
        <v>50</v>
      </c>
      <c r="E4" s="10">
        <v>35</v>
      </c>
      <c r="F4" s="10">
        <v>0</v>
      </c>
      <c r="G4" s="10">
        <v>85</v>
      </c>
      <c r="H4" s="10">
        <v>17</v>
      </c>
    </row>
    <row r="5" spans="1:8" x14ac:dyDescent="0.25">
      <c r="A5" s="4" t="s">
        <v>17</v>
      </c>
      <c r="B5" s="10">
        <v>0</v>
      </c>
      <c r="C5" s="10" t="s">
        <v>18</v>
      </c>
      <c r="D5" s="10" t="s">
        <v>18</v>
      </c>
      <c r="E5" s="10" t="s">
        <v>18</v>
      </c>
      <c r="F5" s="10" t="s">
        <v>18</v>
      </c>
      <c r="G5" s="10" t="s">
        <v>18</v>
      </c>
      <c r="H5" s="10" t="s">
        <v>18</v>
      </c>
    </row>
    <row r="6" spans="1:8" x14ac:dyDescent="0.25">
      <c r="A6" s="4" t="s">
        <v>19</v>
      </c>
      <c r="B6" s="10">
        <v>3</v>
      </c>
      <c r="C6" s="10">
        <v>637</v>
      </c>
      <c r="D6" s="10">
        <v>302</v>
      </c>
      <c r="E6" s="10">
        <v>281</v>
      </c>
      <c r="F6" s="10">
        <v>54</v>
      </c>
      <c r="G6" s="10">
        <v>637</v>
      </c>
      <c r="H6" s="10">
        <v>0</v>
      </c>
    </row>
    <row r="7" spans="1:8" x14ac:dyDescent="0.25">
      <c r="A7" s="4" t="s">
        <v>20</v>
      </c>
      <c r="B7" s="10">
        <v>44</v>
      </c>
      <c r="C7" s="10">
        <v>3351</v>
      </c>
      <c r="D7" s="10">
        <v>1724</v>
      </c>
      <c r="E7" s="10">
        <v>1325</v>
      </c>
      <c r="F7" s="10">
        <v>163</v>
      </c>
      <c r="G7" s="10">
        <v>3212</v>
      </c>
      <c r="H7" s="10">
        <v>139</v>
      </c>
    </row>
    <row r="8" spans="1:8" x14ac:dyDescent="0.25">
      <c r="A8" s="4" t="s">
        <v>21</v>
      </c>
      <c r="B8" s="10">
        <v>4</v>
      </c>
      <c r="C8" s="10">
        <v>642</v>
      </c>
      <c r="D8" s="10">
        <v>402</v>
      </c>
      <c r="E8" s="10">
        <v>186</v>
      </c>
      <c r="F8" s="10">
        <v>15</v>
      </c>
      <c r="G8" s="10">
        <v>603</v>
      </c>
      <c r="H8" s="10">
        <v>39</v>
      </c>
    </row>
    <row r="9" spans="1:8" x14ac:dyDescent="0.25">
      <c r="A9" s="4" t="s">
        <v>22</v>
      </c>
      <c r="B9" s="10">
        <v>2</v>
      </c>
      <c r="C9" s="10">
        <v>125</v>
      </c>
      <c r="D9" s="10">
        <v>30</v>
      </c>
      <c r="E9" s="10">
        <v>75</v>
      </c>
      <c r="F9" s="10">
        <v>9</v>
      </c>
      <c r="G9" s="10">
        <v>114</v>
      </c>
      <c r="H9" s="10">
        <v>11</v>
      </c>
    </row>
    <row r="10" spans="1:8" x14ac:dyDescent="0.25">
      <c r="A10" s="4" t="s">
        <v>23</v>
      </c>
      <c r="B10" s="10">
        <v>1</v>
      </c>
      <c r="C10" s="10">
        <v>187</v>
      </c>
      <c r="D10" s="10">
        <v>73</v>
      </c>
      <c r="E10" s="10">
        <v>85</v>
      </c>
      <c r="F10" s="10">
        <v>3</v>
      </c>
      <c r="G10" s="10">
        <v>161</v>
      </c>
      <c r="H10" s="10">
        <v>26</v>
      </c>
    </row>
    <row r="11" spans="1:8" x14ac:dyDescent="0.25">
      <c r="A11" s="4" t="s">
        <v>24</v>
      </c>
      <c r="B11" s="10">
        <v>1</v>
      </c>
      <c r="C11" s="10">
        <v>74</v>
      </c>
      <c r="D11" s="10">
        <v>41</v>
      </c>
      <c r="E11" s="10">
        <v>33</v>
      </c>
      <c r="F11" s="10">
        <v>0</v>
      </c>
      <c r="G11" s="10">
        <v>74</v>
      </c>
      <c r="H11" s="10">
        <v>0</v>
      </c>
    </row>
    <row r="12" spans="1:8" x14ac:dyDescent="0.25">
      <c r="A12" s="4" t="s">
        <v>25</v>
      </c>
      <c r="B12" s="10">
        <v>27</v>
      </c>
      <c r="C12" s="10">
        <v>2011</v>
      </c>
      <c r="D12" s="10">
        <v>704</v>
      </c>
      <c r="E12" s="10">
        <v>739</v>
      </c>
      <c r="F12" s="10">
        <v>140</v>
      </c>
      <c r="G12" s="10">
        <v>1583</v>
      </c>
      <c r="H12" s="10">
        <v>428</v>
      </c>
    </row>
    <row r="13" spans="1:8" x14ac:dyDescent="0.25">
      <c r="A13" s="4" t="s">
        <v>26</v>
      </c>
      <c r="B13" s="10">
        <v>9</v>
      </c>
      <c r="C13" s="10">
        <v>297</v>
      </c>
      <c r="D13" s="10">
        <v>172</v>
      </c>
      <c r="E13" s="10">
        <v>124</v>
      </c>
      <c r="F13" s="10">
        <v>0</v>
      </c>
      <c r="G13" s="10">
        <v>296</v>
      </c>
      <c r="H13" s="10">
        <v>1</v>
      </c>
    </row>
    <row r="14" spans="1:8" x14ac:dyDescent="0.25">
      <c r="A14" s="4" t="s">
        <v>27</v>
      </c>
      <c r="B14" s="10">
        <v>1</v>
      </c>
      <c r="C14" s="10">
        <v>12</v>
      </c>
      <c r="D14" s="10">
        <v>11</v>
      </c>
      <c r="E14" s="10">
        <v>1</v>
      </c>
      <c r="F14" s="10">
        <v>0</v>
      </c>
      <c r="G14" s="10">
        <v>12</v>
      </c>
      <c r="H14" s="10">
        <v>0</v>
      </c>
    </row>
    <row r="15" spans="1:8" x14ac:dyDescent="0.25">
      <c r="A15" s="4" t="s">
        <v>28</v>
      </c>
      <c r="B15" s="10">
        <v>2</v>
      </c>
      <c r="C15" s="10">
        <v>153</v>
      </c>
      <c r="D15" s="10">
        <v>86</v>
      </c>
      <c r="E15" s="10">
        <v>39</v>
      </c>
      <c r="F15" s="10">
        <v>28</v>
      </c>
      <c r="G15" s="10">
        <v>153</v>
      </c>
      <c r="H15" s="10">
        <v>0</v>
      </c>
    </row>
    <row r="16" spans="1:8" x14ac:dyDescent="0.25">
      <c r="A16" s="4" t="s">
        <v>29</v>
      </c>
      <c r="B16" s="10">
        <v>3</v>
      </c>
      <c r="C16" s="10">
        <v>120</v>
      </c>
      <c r="D16" s="10">
        <v>63</v>
      </c>
      <c r="E16" s="10">
        <v>24</v>
      </c>
      <c r="F16" s="10">
        <v>25</v>
      </c>
      <c r="G16" s="10">
        <v>112</v>
      </c>
      <c r="H16" s="10">
        <v>8</v>
      </c>
    </row>
    <row r="17" spans="1:8" x14ac:dyDescent="0.25">
      <c r="A17" s="4" t="s">
        <v>30</v>
      </c>
      <c r="B17" s="10">
        <v>2</v>
      </c>
      <c r="C17" s="10">
        <v>128</v>
      </c>
      <c r="D17" s="10">
        <v>52</v>
      </c>
      <c r="E17" s="10">
        <v>44</v>
      </c>
      <c r="F17" s="10">
        <v>0</v>
      </c>
      <c r="G17" s="10">
        <v>96</v>
      </c>
      <c r="H17" s="10">
        <v>32</v>
      </c>
    </row>
    <row r="18" spans="1:8" x14ac:dyDescent="0.25">
      <c r="A18" s="4" t="s">
        <v>31</v>
      </c>
      <c r="B18" s="10">
        <v>19</v>
      </c>
      <c r="C18" s="10">
        <v>402</v>
      </c>
      <c r="D18" s="10">
        <v>174</v>
      </c>
      <c r="E18" s="10">
        <v>165</v>
      </c>
      <c r="F18" s="10">
        <v>21</v>
      </c>
      <c r="G18" s="10">
        <v>360</v>
      </c>
      <c r="H18" s="10">
        <v>42</v>
      </c>
    </row>
    <row r="19" spans="1:8" x14ac:dyDescent="0.25">
      <c r="A19" s="4" t="s">
        <v>32</v>
      </c>
      <c r="B19" s="10">
        <v>2</v>
      </c>
      <c r="C19" s="10">
        <v>495</v>
      </c>
      <c r="D19" s="10">
        <v>232</v>
      </c>
      <c r="E19" s="10">
        <v>207</v>
      </c>
      <c r="F19" s="10">
        <v>23</v>
      </c>
      <c r="G19" s="10">
        <v>462</v>
      </c>
      <c r="H19" s="10">
        <v>33</v>
      </c>
    </row>
    <row r="20" spans="1:8" x14ac:dyDescent="0.25">
      <c r="A20" s="4" t="s">
        <v>149</v>
      </c>
      <c r="B20" s="10">
        <v>5</v>
      </c>
      <c r="C20" s="10">
        <v>216</v>
      </c>
      <c r="D20" s="10">
        <v>175</v>
      </c>
      <c r="E20" s="10">
        <v>19</v>
      </c>
      <c r="F20" s="10">
        <v>8</v>
      </c>
      <c r="G20" s="10">
        <v>202</v>
      </c>
      <c r="H20" s="10">
        <v>14</v>
      </c>
    </row>
    <row r="21" spans="1:8" x14ac:dyDescent="0.25">
      <c r="A21" s="4" t="s">
        <v>34</v>
      </c>
      <c r="B21" s="10">
        <v>3</v>
      </c>
      <c r="C21" s="10">
        <v>266</v>
      </c>
      <c r="D21" s="10">
        <v>87</v>
      </c>
      <c r="E21" s="10">
        <v>167</v>
      </c>
      <c r="F21" s="10">
        <v>0</v>
      </c>
      <c r="G21" s="10">
        <v>254</v>
      </c>
      <c r="H21" s="10">
        <v>12</v>
      </c>
    </row>
    <row r="22" spans="1:8" x14ac:dyDescent="0.25">
      <c r="A22" s="4" t="s">
        <v>35</v>
      </c>
      <c r="B22" s="10">
        <v>7</v>
      </c>
      <c r="C22" s="10">
        <v>266</v>
      </c>
      <c r="D22" s="10">
        <v>99</v>
      </c>
      <c r="E22" s="10">
        <v>138</v>
      </c>
      <c r="F22" s="10">
        <v>25</v>
      </c>
      <c r="G22" s="10">
        <v>262</v>
      </c>
      <c r="H22" s="10">
        <v>4</v>
      </c>
    </row>
    <row r="23" spans="1:8" x14ac:dyDescent="0.25">
      <c r="A23" s="4" t="s">
        <v>36</v>
      </c>
      <c r="B23" s="10">
        <v>12</v>
      </c>
      <c r="C23" s="10">
        <v>534</v>
      </c>
      <c r="D23" s="10">
        <v>212</v>
      </c>
      <c r="E23" s="10">
        <v>244</v>
      </c>
      <c r="F23" s="10">
        <v>49</v>
      </c>
      <c r="G23" s="10">
        <v>505</v>
      </c>
      <c r="H23" s="10">
        <v>29</v>
      </c>
    </row>
    <row r="24" spans="1:8" x14ac:dyDescent="0.25">
      <c r="A24" s="4" t="s">
        <v>37</v>
      </c>
      <c r="B24" s="10">
        <v>12</v>
      </c>
      <c r="C24" s="10">
        <v>281</v>
      </c>
      <c r="D24" s="10">
        <v>148</v>
      </c>
      <c r="E24" s="10">
        <v>105</v>
      </c>
      <c r="F24" s="10">
        <v>8</v>
      </c>
      <c r="G24" s="10">
        <v>261</v>
      </c>
      <c r="H24" s="10">
        <v>20</v>
      </c>
    </row>
    <row r="25" spans="1:8" x14ac:dyDescent="0.25">
      <c r="A25" s="4" t="s">
        <v>38</v>
      </c>
      <c r="B25" s="10">
        <v>1</v>
      </c>
      <c r="C25" s="10">
        <v>91</v>
      </c>
      <c r="D25" s="10">
        <v>52</v>
      </c>
      <c r="E25" s="10">
        <v>39</v>
      </c>
      <c r="F25" s="10">
        <v>0</v>
      </c>
      <c r="G25" s="10">
        <v>91</v>
      </c>
      <c r="H25" s="10">
        <v>0</v>
      </c>
    </row>
    <row r="26" spans="1:8" x14ac:dyDescent="0.25">
      <c r="A26" s="4" t="s">
        <v>39</v>
      </c>
      <c r="B26" s="10">
        <v>20</v>
      </c>
      <c r="C26" s="10">
        <v>498</v>
      </c>
      <c r="D26" s="10">
        <v>276</v>
      </c>
      <c r="E26" s="10">
        <v>192</v>
      </c>
      <c r="F26" s="10">
        <v>27</v>
      </c>
      <c r="G26" s="10">
        <v>495</v>
      </c>
      <c r="H26" s="10">
        <v>3</v>
      </c>
    </row>
    <row r="27" spans="1:8" x14ac:dyDescent="0.25">
      <c r="A27" s="4" t="s">
        <v>40</v>
      </c>
      <c r="B27" s="10">
        <v>10</v>
      </c>
      <c r="C27" s="10">
        <v>327</v>
      </c>
      <c r="D27" s="10">
        <v>209</v>
      </c>
      <c r="E27" s="10">
        <v>109</v>
      </c>
      <c r="F27" s="10">
        <v>0</v>
      </c>
      <c r="G27" s="10">
        <v>318</v>
      </c>
      <c r="H27" s="10">
        <v>9</v>
      </c>
    </row>
    <row r="28" spans="1:8" x14ac:dyDescent="0.25">
      <c r="A28" s="4" t="s">
        <v>41</v>
      </c>
      <c r="B28" s="10">
        <v>8</v>
      </c>
      <c r="C28" s="10">
        <v>352</v>
      </c>
      <c r="D28" s="10">
        <v>127</v>
      </c>
      <c r="E28" s="10">
        <v>159</v>
      </c>
      <c r="F28" s="10">
        <v>12</v>
      </c>
      <c r="G28" s="10">
        <v>298</v>
      </c>
      <c r="H28" s="10">
        <v>54</v>
      </c>
    </row>
    <row r="29" spans="1:8" x14ac:dyDescent="0.25">
      <c r="A29" s="4" t="s">
        <v>42</v>
      </c>
      <c r="B29" s="10">
        <v>1</v>
      </c>
      <c r="C29" s="10">
        <v>0</v>
      </c>
      <c r="D29" s="10">
        <v>0</v>
      </c>
      <c r="E29" s="10">
        <v>0</v>
      </c>
      <c r="F29" s="10">
        <v>0</v>
      </c>
      <c r="G29" s="10">
        <v>0</v>
      </c>
      <c r="H29" s="10">
        <v>0</v>
      </c>
    </row>
    <row r="30" spans="1:8" x14ac:dyDescent="0.25">
      <c r="A30" s="4" t="s">
        <v>43</v>
      </c>
      <c r="B30" s="10">
        <v>3</v>
      </c>
      <c r="C30" s="10">
        <v>31</v>
      </c>
      <c r="D30" s="10">
        <v>5</v>
      </c>
      <c r="E30" s="10">
        <v>12</v>
      </c>
      <c r="F30" s="10">
        <v>0</v>
      </c>
      <c r="G30" s="10">
        <v>17</v>
      </c>
      <c r="H30" s="10">
        <v>14</v>
      </c>
    </row>
    <row r="31" spans="1:8" x14ac:dyDescent="0.25">
      <c r="A31" s="4" t="s">
        <v>44</v>
      </c>
      <c r="B31" s="10">
        <v>1</v>
      </c>
      <c r="C31" s="10">
        <v>110</v>
      </c>
      <c r="D31" s="10">
        <v>39</v>
      </c>
      <c r="E31" s="10">
        <v>71</v>
      </c>
      <c r="F31" s="10">
        <v>0</v>
      </c>
      <c r="G31" s="10">
        <v>110</v>
      </c>
      <c r="H31" s="10" t="s">
        <v>18</v>
      </c>
    </row>
    <row r="32" spans="1:8" x14ac:dyDescent="0.25">
      <c r="A32" s="4" t="s">
        <v>45</v>
      </c>
      <c r="B32" s="10">
        <v>12</v>
      </c>
      <c r="C32" s="10">
        <v>706</v>
      </c>
      <c r="D32" s="10">
        <v>357</v>
      </c>
      <c r="E32" s="10">
        <v>284</v>
      </c>
      <c r="F32" s="10">
        <v>5</v>
      </c>
      <c r="G32" s="10">
        <v>646</v>
      </c>
      <c r="H32" s="10">
        <v>60</v>
      </c>
    </row>
    <row r="33" spans="1:8" x14ac:dyDescent="0.25">
      <c r="A33" s="4" t="s">
        <v>46</v>
      </c>
      <c r="B33" s="10">
        <v>1</v>
      </c>
      <c r="C33" s="10">
        <v>34</v>
      </c>
      <c r="D33" s="10">
        <v>12</v>
      </c>
      <c r="E33" s="10">
        <v>2</v>
      </c>
      <c r="F33" s="10">
        <v>15</v>
      </c>
      <c r="G33" s="10">
        <v>29</v>
      </c>
      <c r="H33" s="10">
        <v>5</v>
      </c>
    </row>
    <row r="34" spans="1:8" x14ac:dyDescent="0.25">
      <c r="A34" s="4" t="s">
        <v>47</v>
      </c>
      <c r="B34" s="10">
        <v>3</v>
      </c>
      <c r="C34" s="10">
        <v>129</v>
      </c>
      <c r="D34" s="10">
        <v>79</v>
      </c>
      <c r="E34" s="10">
        <v>23</v>
      </c>
      <c r="F34" s="10">
        <v>20</v>
      </c>
      <c r="G34" s="10">
        <v>122</v>
      </c>
      <c r="H34" s="10">
        <v>7</v>
      </c>
    </row>
    <row r="35" spans="1:8" x14ac:dyDescent="0.25">
      <c r="A35" s="4" t="s">
        <v>48</v>
      </c>
      <c r="B35" s="10">
        <v>3</v>
      </c>
      <c r="C35" s="10">
        <v>119</v>
      </c>
      <c r="D35" s="10">
        <v>41</v>
      </c>
      <c r="E35" s="10">
        <v>59</v>
      </c>
      <c r="F35" s="10">
        <v>0</v>
      </c>
      <c r="G35" s="10">
        <v>100</v>
      </c>
      <c r="H35" s="10">
        <v>19</v>
      </c>
    </row>
    <row r="36" spans="1:8" x14ac:dyDescent="0.25">
      <c r="A36" s="4" t="s">
        <v>49</v>
      </c>
      <c r="B36" s="10">
        <v>16</v>
      </c>
      <c r="C36" s="10">
        <v>438</v>
      </c>
      <c r="D36" s="10">
        <v>179</v>
      </c>
      <c r="E36" s="10">
        <v>239</v>
      </c>
      <c r="F36" s="10">
        <v>1</v>
      </c>
      <c r="G36" s="10">
        <v>419</v>
      </c>
      <c r="H36" s="10">
        <v>19</v>
      </c>
    </row>
    <row r="37" spans="1:8" x14ac:dyDescent="0.25">
      <c r="A37" s="4" t="s">
        <v>50</v>
      </c>
      <c r="B37" s="10">
        <v>2</v>
      </c>
      <c r="C37" s="10">
        <v>169</v>
      </c>
      <c r="D37" s="10">
        <v>77</v>
      </c>
      <c r="E37" s="10">
        <v>24</v>
      </c>
      <c r="F37" s="10">
        <v>0</v>
      </c>
      <c r="G37" s="10">
        <v>101</v>
      </c>
      <c r="H37" s="10">
        <v>68</v>
      </c>
    </row>
    <row r="38" spans="1:8" x14ac:dyDescent="0.25">
      <c r="A38" s="4" t="s">
        <v>51</v>
      </c>
      <c r="B38" s="10">
        <v>3</v>
      </c>
      <c r="C38" s="10">
        <v>749</v>
      </c>
      <c r="D38" s="10">
        <v>137</v>
      </c>
      <c r="E38" s="10">
        <v>338</v>
      </c>
      <c r="F38" s="10">
        <v>0</v>
      </c>
      <c r="G38" s="10">
        <v>475</v>
      </c>
      <c r="H38" s="10">
        <v>274</v>
      </c>
    </row>
    <row r="39" spans="1:8" x14ac:dyDescent="0.25">
      <c r="A39" s="4" t="s">
        <v>52</v>
      </c>
      <c r="B39" s="10">
        <v>24</v>
      </c>
      <c r="C39" s="10">
        <v>1108</v>
      </c>
      <c r="D39" s="10">
        <v>705</v>
      </c>
      <c r="E39" s="10">
        <v>333</v>
      </c>
      <c r="F39" s="10">
        <v>59</v>
      </c>
      <c r="G39" s="10">
        <v>1097</v>
      </c>
      <c r="H39" s="10">
        <v>11</v>
      </c>
    </row>
    <row r="40" spans="1:8" x14ac:dyDescent="0.25">
      <c r="A40" s="4" t="s">
        <v>53</v>
      </c>
      <c r="B40" s="10">
        <v>9</v>
      </c>
      <c r="C40" s="10">
        <v>505</v>
      </c>
      <c r="D40" s="10">
        <v>248</v>
      </c>
      <c r="E40" s="10">
        <v>216</v>
      </c>
      <c r="F40" s="10">
        <v>38</v>
      </c>
      <c r="G40" s="10">
        <v>502</v>
      </c>
      <c r="H40" s="10">
        <v>3</v>
      </c>
    </row>
    <row r="41" spans="1:8" x14ac:dyDescent="0.25">
      <c r="A41" s="4" t="s">
        <v>54</v>
      </c>
      <c r="B41" s="10">
        <v>8</v>
      </c>
      <c r="C41" s="10">
        <v>199</v>
      </c>
      <c r="D41" s="10">
        <v>112</v>
      </c>
      <c r="E41" s="10">
        <v>66</v>
      </c>
      <c r="F41" s="10">
        <v>0</v>
      </c>
      <c r="G41" s="10">
        <v>178</v>
      </c>
      <c r="H41" s="10">
        <v>21</v>
      </c>
    </row>
    <row r="42" spans="1:8" x14ac:dyDescent="0.25">
      <c r="A42" s="4" t="s">
        <v>55</v>
      </c>
      <c r="B42" s="10">
        <v>8</v>
      </c>
      <c r="C42" s="10">
        <v>1000</v>
      </c>
      <c r="D42" s="10">
        <v>422</v>
      </c>
      <c r="E42" s="10">
        <v>276</v>
      </c>
      <c r="F42" s="10">
        <v>8</v>
      </c>
      <c r="G42" s="10">
        <v>706</v>
      </c>
      <c r="H42" s="10">
        <v>294</v>
      </c>
    </row>
    <row r="43" spans="1:8" x14ac:dyDescent="0.25">
      <c r="A43" s="4" t="s">
        <v>56</v>
      </c>
      <c r="B43" s="10">
        <v>16</v>
      </c>
      <c r="C43" s="10">
        <v>782</v>
      </c>
      <c r="D43" s="10">
        <v>291</v>
      </c>
      <c r="E43" s="10">
        <v>382</v>
      </c>
      <c r="F43" s="10">
        <v>51</v>
      </c>
      <c r="G43" s="10">
        <v>724</v>
      </c>
      <c r="H43" s="10">
        <v>58</v>
      </c>
    </row>
    <row r="44" spans="1:8" x14ac:dyDescent="0.25">
      <c r="A44" s="4" t="s">
        <v>57</v>
      </c>
      <c r="B44" s="10">
        <v>2</v>
      </c>
      <c r="C44" s="10">
        <v>5</v>
      </c>
      <c r="D44" s="10">
        <v>2</v>
      </c>
      <c r="E44" s="10">
        <v>3</v>
      </c>
      <c r="F44" s="10">
        <v>0</v>
      </c>
      <c r="G44" s="10">
        <v>5</v>
      </c>
      <c r="H44" s="10">
        <v>0</v>
      </c>
    </row>
    <row r="45" spans="1:8" x14ac:dyDescent="0.25">
      <c r="A45" s="4" t="s">
        <v>58</v>
      </c>
      <c r="B45" s="10">
        <v>1</v>
      </c>
      <c r="C45" s="10">
        <v>97</v>
      </c>
      <c r="D45" s="10">
        <v>40</v>
      </c>
      <c r="E45" s="10">
        <v>51</v>
      </c>
      <c r="F45" s="10">
        <v>0</v>
      </c>
      <c r="G45" s="10">
        <v>91</v>
      </c>
      <c r="H45" s="10">
        <v>6</v>
      </c>
    </row>
    <row r="46" spans="1:8" x14ac:dyDescent="0.25">
      <c r="A46" s="4" t="s">
        <v>59</v>
      </c>
      <c r="B46" s="10">
        <v>4</v>
      </c>
      <c r="C46" s="10">
        <v>309</v>
      </c>
      <c r="D46" s="10">
        <v>131</v>
      </c>
      <c r="E46" s="10">
        <v>161</v>
      </c>
      <c r="F46" s="10">
        <v>0</v>
      </c>
      <c r="G46" s="10">
        <v>292</v>
      </c>
      <c r="H46" s="10">
        <v>17</v>
      </c>
    </row>
    <row r="47" spans="1:8" x14ac:dyDescent="0.25">
      <c r="A47" s="4" t="s">
        <v>60</v>
      </c>
      <c r="B47" s="10">
        <v>1</v>
      </c>
      <c r="C47" s="10">
        <v>31</v>
      </c>
      <c r="D47" s="10">
        <v>24</v>
      </c>
      <c r="E47" s="10">
        <v>7</v>
      </c>
      <c r="F47" s="10">
        <v>0</v>
      </c>
      <c r="G47" s="10">
        <v>31</v>
      </c>
      <c r="H47" s="10">
        <v>0</v>
      </c>
    </row>
    <row r="48" spans="1:8" x14ac:dyDescent="0.25">
      <c r="A48" s="4" t="s">
        <v>61</v>
      </c>
      <c r="B48" s="10">
        <v>10</v>
      </c>
      <c r="C48" s="10">
        <v>557</v>
      </c>
      <c r="D48" s="10">
        <v>241</v>
      </c>
      <c r="E48" s="10">
        <v>247</v>
      </c>
      <c r="F48" s="10">
        <v>4</v>
      </c>
      <c r="G48" s="10">
        <v>492</v>
      </c>
      <c r="H48" s="10">
        <v>65</v>
      </c>
    </row>
    <row r="49" spans="1:8" x14ac:dyDescent="0.25">
      <c r="A49" s="4" t="s">
        <v>62</v>
      </c>
      <c r="B49" s="10">
        <v>11</v>
      </c>
      <c r="C49" s="10">
        <v>1279</v>
      </c>
      <c r="D49" s="10">
        <v>606</v>
      </c>
      <c r="E49" s="10">
        <v>305</v>
      </c>
      <c r="F49" s="10">
        <v>39</v>
      </c>
      <c r="G49" s="10">
        <v>950</v>
      </c>
      <c r="H49" s="10">
        <v>329</v>
      </c>
    </row>
    <row r="50" spans="1:8" x14ac:dyDescent="0.25">
      <c r="A50" s="4" t="s">
        <v>63</v>
      </c>
      <c r="B50" s="10">
        <v>3</v>
      </c>
      <c r="C50" s="10">
        <v>129</v>
      </c>
      <c r="D50" s="10">
        <v>55</v>
      </c>
      <c r="E50" s="10">
        <v>74</v>
      </c>
      <c r="F50" s="10">
        <v>0</v>
      </c>
      <c r="G50" s="10">
        <v>129</v>
      </c>
      <c r="H50" s="10" t="s">
        <v>18</v>
      </c>
    </row>
    <row r="51" spans="1:8" x14ac:dyDescent="0.25">
      <c r="A51" s="4" t="s">
        <v>64</v>
      </c>
      <c r="B51" s="10">
        <v>16</v>
      </c>
      <c r="C51" s="10">
        <v>348</v>
      </c>
      <c r="D51" s="10">
        <v>261</v>
      </c>
      <c r="E51" s="10">
        <v>26</v>
      </c>
      <c r="F51" s="10">
        <v>38</v>
      </c>
      <c r="G51" s="10">
        <v>325</v>
      </c>
      <c r="H51" s="10">
        <v>23</v>
      </c>
    </row>
    <row r="52" spans="1:8" x14ac:dyDescent="0.25">
      <c r="A52" s="4" t="s">
        <v>65</v>
      </c>
      <c r="B52" s="10">
        <v>1</v>
      </c>
      <c r="C52" s="10">
        <v>6</v>
      </c>
      <c r="D52" s="10">
        <v>0</v>
      </c>
      <c r="E52" s="10">
        <v>0</v>
      </c>
      <c r="F52" s="10">
        <v>0</v>
      </c>
      <c r="G52" s="10">
        <v>0</v>
      </c>
      <c r="H52" s="10">
        <v>6</v>
      </c>
    </row>
    <row r="53" spans="1:8" x14ac:dyDescent="0.25">
      <c r="A53" s="4" t="s">
        <v>66</v>
      </c>
      <c r="B53" s="10">
        <v>2</v>
      </c>
      <c r="C53" s="10">
        <v>103</v>
      </c>
      <c r="D53" s="10">
        <v>78</v>
      </c>
      <c r="E53" s="10">
        <v>25</v>
      </c>
      <c r="F53" s="10">
        <v>0</v>
      </c>
      <c r="G53" s="10">
        <v>103</v>
      </c>
      <c r="H53" s="10">
        <v>0</v>
      </c>
    </row>
    <row r="54" spans="1:8" x14ac:dyDescent="0.25">
      <c r="A54" s="4" t="s">
        <v>67</v>
      </c>
      <c r="B54" s="10">
        <v>6</v>
      </c>
      <c r="C54" s="10">
        <v>832</v>
      </c>
      <c r="D54" s="10">
        <v>549</v>
      </c>
      <c r="E54" s="10">
        <v>249</v>
      </c>
      <c r="F54" s="10">
        <v>34</v>
      </c>
      <c r="G54" s="10">
        <v>832</v>
      </c>
      <c r="H54" s="10">
        <v>0</v>
      </c>
    </row>
    <row r="55" spans="1:8" x14ac:dyDescent="0.25">
      <c r="A55" s="4" t="s">
        <v>68</v>
      </c>
      <c r="B55" s="10">
        <v>4</v>
      </c>
      <c r="C55" s="10">
        <v>297</v>
      </c>
      <c r="D55" s="10">
        <v>92</v>
      </c>
      <c r="E55" s="10">
        <v>195</v>
      </c>
      <c r="F55" s="10">
        <v>0</v>
      </c>
      <c r="G55" s="10">
        <v>287</v>
      </c>
      <c r="H55" s="10">
        <v>10</v>
      </c>
    </row>
    <row r="56" spans="1:8" x14ac:dyDescent="0.25">
      <c r="A56" s="4" t="s">
        <v>69</v>
      </c>
      <c r="B56" s="10">
        <v>4</v>
      </c>
      <c r="C56" s="10">
        <v>95</v>
      </c>
      <c r="D56" s="10">
        <v>48</v>
      </c>
      <c r="E56" s="10">
        <v>26</v>
      </c>
      <c r="F56" s="10">
        <v>1</v>
      </c>
      <c r="G56" s="10">
        <v>75</v>
      </c>
      <c r="H56" s="10">
        <v>20</v>
      </c>
    </row>
    <row r="57" spans="1:8" x14ac:dyDescent="0.25">
      <c r="A57" s="4" t="s">
        <v>70</v>
      </c>
      <c r="B57" s="10">
        <v>1</v>
      </c>
      <c r="C57" s="10">
        <v>19</v>
      </c>
      <c r="D57" s="10">
        <v>0</v>
      </c>
      <c r="E57" s="10">
        <v>19</v>
      </c>
      <c r="F57" s="10">
        <v>0</v>
      </c>
      <c r="G57" s="10">
        <v>19</v>
      </c>
      <c r="H57" s="10">
        <v>0</v>
      </c>
    </row>
    <row r="58" spans="1:8" x14ac:dyDescent="0.25">
      <c r="A58" s="6" t="s">
        <v>71</v>
      </c>
      <c r="B58" s="11">
        <v>388</v>
      </c>
      <c r="C58" s="11">
        <v>22030</v>
      </c>
      <c r="D58" s="11">
        <v>10502</v>
      </c>
      <c r="E58" s="11">
        <v>8325</v>
      </c>
      <c r="F58" s="11">
        <v>923</v>
      </c>
      <c r="G58" s="11">
        <v>19750</v>
      </c>
      <c r="H58" s="11">
        <v>2280</v>
      </c>
    </row>
    <row r="59" spans="1:8" ht="14.1" customHeight="1" x14ac:dyDescent="0.25">
      <c r="A59" s="8"/>
    </row>
    <row r="60" spans="1:8" x14ac:dyDescent="0.25">
      <c r="A60" s="12" t="s">
        <v>151</v>
      </c>
    </row>
  </sheetData>
  <pageMargins left="0.08" right="0.08"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C256F-04C7-4B58-8DAE-FB97A57C2566}">
  <dimension ref="A1:H60"/>
  <sheetViews>
    <sheetView workbookViewId="0">
      <selection activeCell="A20" sqref="A20"/>
    </sheetView>
  </sheetViews>
  <sheetFormatPr defaultRowHeight="15" x14ac:dyDescent="0.25"/>
  <cols>
    <col min="1" max="1" width="11.42578125" style="1" bestFit="1" customWidth="1"/>
    <col min="2" max="8" width="17.140625" style="1" bestFit="1" customWidth="1"/>
    <col min="9" max="16384" width="9.140625" style="1"/>
  </cols>
  <sheetData>
    <row r="1" spans="1:8" ht="39" x14ac:dyDescent="0.25">
      <c r="A1" s="2" t="s">
        <v>72</v>
      </c>
      <c r="B1" s="9" t="s">
        <v>73</v>
      </c>
      <c r="C1" s="9" t="s">
        <v>98</v>
      </c>
      <c r="D1" s="9" t="s">
        <v>99</v>
      </c>
      <c r="E1" s="9" t="s">
        <v>100</v>
      </c>
      <c r="F1" s="9" t="s">
        <v>101</v>
      </c>
      <c r="G1" s="9" t="s">
        <v>102</v>
      </c>
      <c r="H1" s="9" t="s">
        <v>103</v>
      </c>
    </row>
    <row r="2" spans="1:8" x14ac:dyDescent="0.25">
      <c r="A2" s="4" t="s">
        <v>14</v>
      </c>
      <c r="B2" s="10">
        <v>2</v>
      </c>
      <c r="C2" s="10">
        <v>94</v>
      </c>
      <c r="D2" s="10">
        <v>61</v>
      </c>
      <c r="E2" s="10">
        <v>21</v>
      </c>
      <c r="F2" s="10">
        <v>0</v>
      </c>
      <c r="G2" s="10">
        <v>82</v>
      </c>
      <c r="H2" s="10">
        <v>12</v>
      </c>
    </row>
    <row r="3" spans="1:8" x14ac:dyDescent="0.25">
      <c r="A3" s="4" t="s">
        <v>15</v>
      </c>
      <c r="B3" s="10">
        <v>8</v>
      </c>
      <c r="C3" s="10">
        <v>329</v>
      </c>
      <c r="D3" s="10">
        <v>169</v>
      </c>
      <c r="E3" s="10">
        <v>59</v>
      </c>
      <c r="F3" s="10">
        <v>3</v>
      </c>
      <c r="G3" s="10">
        <v>231</v>
      </c>
      <c r="H3" s="10">
        <v>98</v>
      </c>
    </row>
    <row r="4" spans="1:8" x14ac:dyDescent="0.25">
      <c r="A4" s="4" t="s">
        <v>16</v>
      </c>
      <c r="B4" s="10">
        <v>4</v>
      </c>
      <c r="C4" s="10">
        <v>188</v>
      </c>
      <c r="D4" s="10">
        <v>68</v>
      </c>
      <c r="E4" s="10">
        <v>39</v>
      </c>
      <c r="F4" s="10">
        <v>0</v>
      </c>
      <c r="G4" s="10">
        <v>107</v>
      </c>
      <c r="H4" s="10">
        <v>81</v>
      </c>
    </row>
    <row r="5" spans="1:8" x14ac:dyDescent="0.25">
      <c r="A5" s="4" t="s">
        <v>17</v>
      </c>
      <c r="B5" s="10">
        <v>0</v>
      </c>
      <c r="C5" s="10" t="s">
        <v>18</v>
      </c>
      <c r="D5" s="10" t="s">
        <v>18</v>
      </c>
      <c r="E5" s="10" t="s">
        <v>18</v>
      </c>
      <c r="F5" s="10" t="s">
        <v>18</v>
      </c>
      <c r="G5" s="10" t="s">
        <v>18</v>
      </c>
      <c r="H5" s="10" t="s">
        <v>18</v>
      </c>
    </row>
    <row r="6" spans="1:8" x14ac:dyDescent="0.25">
      <c r="A6" s="4" t="s">
        <v>19</v>
      </c>
      <c r="B6" s="10">
        <v>3</v>
      </c>
      <c r="C6" s="10">
        <v>921</v>
      </c>
      <c r="D6" s="10">
        <v>159</v>
      </c>
      <c r="E6" s="10">
        <v>372</v>
      </c>
      <c r="F6" s="10">
        <v>48</v>
      </c>
      <c r="G6" s="10">
        <v>579</v>
      </c>
      <c r="H6" s="10">
        <v>342</v>
      </c>
    </row>
    <row r="7" spans="1:8" x14ac:dyDescent="0.25">
      <c r="A7" s="4" t="s">
        <v>20</v>
      </c>
      <c r="B7" s="10">
        <v>44</v>
      </c>
      <c r="C7" s="10">
        <v>11401</v>
      </c>
      <c r="D7" s="10">
        <v>1619</v>
      </c>
      <c r="E7" s="10">
        <v>1633</v>
      </c>
      <c r="F7" s="10">
        <v>153</v>
      </c>
      <c r="G7" s="10">
        <v>3405</v>
      </c>
      <c r="H7" s="10">
        <v>7996</v>
      </c>
    </row>
    <row r="8" spans="1:8" x14ac:dyDescent="0.25">
      <c r="A8" s="4" t="s">
        <v>21</v>
      </c>
      <c r="B8" s="10">
        <v>4</v>
      </c>
      <c r="C8" s="10">
        <v>1044</v>
      </c>
      <c r="D8" s="10">
        <v>397</v>
      </c>
      <c r="E8" s="10">
        <v>271</v>
      </c>
      <c r="F8" s="10">
        <v>28</v>
      </c>
      <c r="G8" s="10">
        <v>696</v>
      </c>
      <c r="H8" s="10">
        <v>348</v>
      </c>
    </row>
    <row r="9" spans="1:8" x14ac:dyDescent="0.25">
      <c r="A9" s="4" t="s">
        <v>22</v>
      </c>
      <c r="B9" s="10">
        <v>2</v>
      </c>
      <c r="C9" s="10">
        <v>199</v>
      </c>
      <c r="D9" s="10">
        <v>48</v>
      </c>
      <c r="E9" s="10">
        <v>130</v>
      </c>
      <c r="F9" s="10">
        <v>9</v>
      </c>
      <c r="G9" s="10">
        <v>187</v>
      </c>
      <c r="H9" s="10">
        <v>12</v>
      </c>
    </row>
    <row r="10" spans="1:8" x14ac:dyDescent="0.25">
      <c r="A10" s="4" t="s">
        <v>23</v>
      </c>
      <c r="B10" s="10">
        <v>1</v>
      </c>
      <c r="C10" s="10">
        <v>302</v>
      </c>
      <c r="D10" s="10">
        <v>121</v>
      </c>
      <c r="E10" s="10">
        <v>133</v>
      </c>
      <c r="F10" s="10">
        <v>0</v>
      </c>
      <c r="G10" s="10">
        <v>254</v>
      </c>
      <c r="H10" s="10">
        <v>48</v>
      </c>
    </row>
    <row r="11" spans="1:8" x14ac:dyDescent="0.25">
      <c r="A11" s="4" t="s">
        <v>24</v>
      </c>
      <c r="B11" s="10">
        <v>1</v>
      </c>
      <c r="C11" s="10">
        <v>78</v>
      </c>
      <c r="D11" s="10">
        <v>34</v>
      </c>
      <c r="E11" s="10">
        <v>37</v>
      </c>
      <c r="F11" s="10">
        <v>0</v>
      </c>
      <c r="G11" s="10">
        <v>71</v>
      </c>
      <c r="H11" s="10">
        <v>7</v>
      </c>
    </row>
    <row r="12" spans="1:8" x14ac:dyDescent="0.25">
      <c r="A12" s="4" t="s">
        <v>25</v>
      </c>
      <c r="B12" s="10">
        <v>27</v>
      </c>
      <c r="C12" s="10">
        <v>2436</v>
      </c>
      <c r="D12" s="10">
        <v>555</v>
      </c>
      <c r="E12" s="10">
        <v>799</v>
      </c>
      <c r="F12" s="10">
        <v>116</v>
      </c>
      <c r="G12" s="10">
        <v>1470</v>
      </c>
      <c r="H12" s="10">
        <v>966</v>
      </c>
    </row>
    <row r="13" spans="1:8" x14ac:dyDescent="0.25">
      <c r="A13" s="4" t="s">
        <v>26</v>
      </c>
      <c r="B13" s="10">
        <v>9</v>
      </c>
      <c r="C13" s="10">
        <v>764</v>
      </c>
      <c r="D13" s="10">
        <v>216</v>
      </c>
      <c r="E13" s="10">
        <v>160</v>
      </c>
      <c r="F13" s="10">
        <v>0</v>
      </c>
      <c r="G13" s="10">
        <v>376</v>
      </c>
      <c r="H13" s="10">
        <v>388</v>
      </c>
    </row>
    <row r="14" spans="1:8" x14ac:dyDescent="0.25">
      <c r="A14" s="4" t="s">
        <v>27</v>
      </c>
      <c r="B14" s="10">
        <v>1</v>
      </c>
      <c r="C14" s="10">
        <v>21</v>
      </c>
      <c r="D14" s="10">
        <v>6</v>
      </c>
      <c r="E14" s="10">
        <v>0</v>
      </c>
      <c r="F14" s="10">
        <v>0</v>
      </c>
      <c r="G14" s="10">
        <v>6</v>
      </c>
      <c r="H14" s="10">
        <v>15</v>
      </c>
    </row>
    <row r="15" spans="1:8" x14ac:dyDescent="0.25">
      <c r="A15" s="4" t="s">
        <v>28</v>
      </c>
      <c r="B15" s="10">
        <v>2</v>
      </c>
      <c r="C15" s="10">
        <v>485</v>
      </c>
      <c r="D15" s="10">
        <v>130</v>
      </c>
      <c r="E15" s="10">
        <v>70</v>
      </c>
      <c r="F15" s="10">
        <v>44</v>
      </c>
      <c r="G15" s="10">
        <v>244</v>
      </c>
      <c r="H15" s="10">
        <v>241</v>
      </c>
    </row>
    <row r="16" spans="1:8" x14ac:dyDescent="0.25">
      <c r="A16" s="4" t="s">
        <v>29</v>
      </c>
      <c r="B16" s="10">
        <v>3</v>
      </c>
      <c r="C16" s="10">
        <v>154</v>
      </c>
      <c r="D16" s="10">
        <v>77</v>
      </c>
      <c r="E16" s="10">
        <v>36</v>
      </c>
      <c r="F16" s="10">
        <v>23</v>
      </c>
      <c r="G16" s="10">
        <v>136</v>
      </c>
      <c r="H16" s="10">
        <v>18</v>
      </c>
    </row>
    <row r="17" spans="1:8" x14ac:dyDescent="0.25">
      <c r="A17" s="4" t="s">
        <v>30</v>
      </c>
      <c r="B17" s="10">
        <v>2</v>
      </c>
      <c r="C17" s="10">
        <v>178</v>
      </c>
      <c r="D17" s="10">
        <v>60</v>
      </c>
      <c r="E17" s="10">
        <v>52</v>
      </c>
      <c r="F17" s="10">
        <v>0</v>
      </c>
      <c r="G17" s="10">
        <v>112</v>
      </c>
      <c r="H17" s="10">
        <v>66</v>
      </c>
    </row>
    <row r="18" spans="1:8" x14ac:dyDescent="0.25">
      <c r="A18" s="4" t="s">
        <v>31</v>
      </c>
      <c r="B18" s="10">
        <v>19</v>
      </c>
      <c r="C18" s="10">
        <v>736</v>
      </c>
      <c r="D18" s="10">
        <v>199</v>
      </c>
      <c r="E18" s="10">
        <v>282</v>
      </c>
      <c r="F18" s="10">
        <v>23</v>
      </c>
      <c r="G18" s="10">
        <v>504</v>
      </c>
      <c r="H18" s="10">
        <v>232</v>
      </c>
    </row>
    <row r="19" spans="1:8" x14ac:dyDescent="0.25">
      <c r="A19" s="4" t="s">
        <v>32</v>
      </c>
      <c r="B19" s="10">
        <v>2</v>
      </c>
      <c r="C19" s="10">
        <v>530</v>
      </c>
      <c r="D19" s="10">
        <v>207</v>
      </c>
      <c r="E19" s="10">
        <v>231</v>
      </c>
      <c r="F19" s="10">
        <v>22</v>
      </c>
      <c r="G19" s="10">
        <v>460</v>
      </c>
      <c r="H19" s="10">
        <v>70</v>
      </c>
    </row>
    <row r="20" spans="1:8" x14ac:dyDescent="0.25">
      <c r="A20" s="4" t="s">
        <v>149</v>
      </c>
      <c r="B20" s="10">
        <v>5</v>
      </c>
      <c r="C20" s="10">
        <v>203</v>
      </c>
      <c r="D20" s="10">
        <v>97</v>
      </c>
      <c r="E20" s="10">
        <v>77</v>
      </c>
      <c r="F20" s="10">
        <v>0</v>
      </c>
      <c r="G20" s="10">
        <v>174</v>
      </c>
      <c r="H20" s="10">
        <v>29</v>
      </c>
    </row>
    <row r="21" spans="1:8" x14ac:dyDescent="0.25">
      <c r="A21" s="4" t="s">
        <v>34</v>
      </c>
      <c r="B21" s="10">
        <v>3</v>
      </c>
      <c r="C21" s="10">
        <v>399</v>
      </c>
      <c r="D21" s="10">
        <v>133</v>
      </c>
      <c r="E21" s="10">
        <v>226</v>
      </c>
      <c r="F21" s="10">
        <v>0</v>
      </c>
      <c r="G21" s="10">
        <v>359</v>
      </c>
      <c r="H21" s="10">
        <v>40</v>
      </c>
    </row>
    <row r="22" spans="1:8" x14ac:dyDescent="0.25">
      <c r="A22" s="4" t="s">
        <v>35</v>
      </c>
      <c r="B22" s="10">
        <v>7</v>
      </c>
      <c r="C22" s="10">
        <v>378</v>
      </c>
      <c r="D22" s="10">
        <v>89</v>
      </c>
      <c r="E22" s="10">
        <v>186</v>
      </c>
      <c r="F22" s="10">
        <v>61</v>
      </c>
      <c r="G22" s="10">
        <v>336</v>
      </c>
      <c r="H22" s="10">
        <v>42</v>
      </c>
    </row>
    <row r="23" spans="1:8" x14ac:dyDescent="0.25">
      <c r="A23" s="4" t="s">
        <v>36</v>
      </c>
      <c r="B23" s="10">
        <v>13</v>
      </c>
      <c r="C23" s="10">
        <v>836</v>
      </c>
      <c r="D23" s="10">
        <v>215</v>
      </c>
      <c r="E23" s="10">
        <v>553</v>
      </c>
      <c r="F23" s="10">
        <v>39</v>
      </c>
      <c r="G23" s="10">
        <v>807</v>
      </c>
      <c r="H23" s="10">
        <v>29</v>
      </c>
    </row>
    <row r="24" spans="1:8" x14ac:dyDescent="0.25">
      <c r="A24" s="4" t="s">
        <v>37</v>
      </c>
      <c r="B24" s="10">
        <v>16</v>
      </c>
      <c r="C24" s="10">
        <v>464</v>
      </c>
      <c r="D24" s="10">
        <v>174</v>
      </c>
      <c r="E24" s="10">
        <v>209</v>
      </c>
      <c r="F24" s="10">
        <v>9</v>
      </c>
      <c r="G24" s="10">
        <v>392</v>
      </c>
      <c r="H24" s="10">
        <v>72</v>
      </c>
    </row>
    <row r="25" spans="1:8" x14ac:dyDescent="0.25">
      <c r="A25" s="4" t="s">
        <v>38</v>
      </c>
      <c r="B25" s="10">
        <v>1</v>
      </c>
      <c r="C25" s="10">
        <v>103</v>
      </c>
      <c r="D25" s="10">
        <v>42</v>
      </c>
      <c r="E25" s="10">
        <v>50</v>
      </c>
      <c r="F25" s="10">
        <v>1</v>
      </c>
      <c r="G25" s="10">
        <v>93</v>
      </c>
      <c r="H25" s="10">
        <v>10</v>
      </c>
    </row>
    <row r="26" spans="1:8" x14ac:dyDescent="0.25">
      <c r="A26" s="4" t="s">
        <v>39</v>
      </c>
      <c r="B26" s="10">
        <v>20</v>
      </c>
      <c r="C26" s="10">
        <v>639</v>
      </c>
      <c r="D26" s="10">
        <v>223</v>
      </c>
      <c r="E26" s="10">
        <v>321</v>
      </c>
      <c r="F26" s="10">
        <v>50</v>
      </c>
      <c r="G26" s="10">
        <v>594</v>
      </c>
      <c r="H26" s="10">
        <v>45</v>
      </c>
    </row>
    <row r="27" spans="1:8" x14ac:dyDescent="0.25">
      <c r="A27" s="4" t="s">
        <v>40</v>
      </c>
      <c r="B27" s="10">
        <v>10</v>
      </c>
      <c r="C27" s="10">
        <v>315</v>
      </c>
      <c r="D27" s="10">
        <v>146</v>
      </c>
      <c r="E27" s="10">
        <v>122</v>
      </c>
      <c r="F27" s="10">
        <v>0</v>
      </c>
      <c r="G27" s="10">
        <v>268</v>
      </c>
      <c r="H27" s="10">
        <v>47</v>
      </c>
    </row>
    <row r="28" spans="1:8" x14ac:dyDescent="0.25">
      <c r="A28" s="4" t="s">
        <v>41</v>
      </c>
      <c r="B28" s="10">
        <v>8</v>
      </c>
      <c r="C28" s="10">
        <v>453</v>
      </c>
      <c r="D28" s="10">
        <v>189</v>
      </c>
      <c r="E28" s="10">
        <v>175</v>
      </c>
      <c r="F28" s="10">
        <v>2</v>
      </c>
      <c r="G28" s="10">
        <v>366</v>
      </c>
      <c r="H28" s="10">
        <v>87</v>
      </c>
    </row>
    <row r="29" spans="1:8" x14ac:dyDescent="0.25">
      <c r="A29" s="4" t="s">
        <v>42</v>
      </c>
      <c r="B29" s="10">
        <v>1</v>
      </c>
      <c r="C29" s="10">
        <v>9</v>
      </c>
      <c r="D29" s="10">
        <v>0</v>
      </c>
      <c r="E29" s="10">
        <v>0</v>
      </c>
      <c r="F29" s="10">
        <v>0</v>
      </c>
      <c r="G29" s="10">
        <v>0</v>
      </c>
      <c r="H29" s="10">
        <v>9</v>
      </c>
    </row>
    <row r="30" spans="1:8" x14ac:dyDescent="0.25">
      <c r="A30" s="4" t="s">
        <v>43</v>
      </c>
      <c r="B30" s="10">
        <v>3</v>
      </c>
      <c r="C30" s="10">
        <v>68</v>
      </c>
      <c r="D30" s="10">
        <v>9</v>
      </c>
      <c r="E30" s="10">
        <v>28</v>
      </c>
      <c r="F30" s="10">
        <v>0</v>
      </c>
      <c r="G30" s="10">
        <v>37</v>
      </c>
      <c r="H30" s="10">
        <v>31</v>
      </c>
    </row>
    <row r="31" spans="1:8" x14ac:dyDescent="0.25">
      <c r="A31" s="4" t="s">
        <v>44</v>
      </c>
      <c r="B31" s="10">
        <v>1</v>
      </c>
      <c r="C31" s="10">
        <v>165</v>
      </c>
      <c r="D31" s="10">
        <v>47</v>
      </c>
      <c r="E31" s="10">
        <v>57</v>
      </c>
      <c r="F31" s="10">
        <v>0</v>
      </c>
      <c r="G31" s="10">
        <v>104</v>
      </c>
      <c r="H31" s="10">
        <v>61</v>
      </c>
    </row>
    <row r="32" spans="1:8" x14ac:dyDescent="0.25">
      <c r="A32" s="4" t="s">
        <v>45</v>
      </c>
      <c r="B32" s="10">
        <v>12</v>
      </c>
      <c r="C32" s="10">
        <v>798</v>
      </c>
      <c r="D32" s="10">
        <v>309</v>
      </c>
      <c r="E32" s="10">
        <v>360</v>
      </c>
      <c r="F32" s="10">
        <v>0</v>
      </c>
      <c r="G32" s="10">
        <v>669</v>
      </c>
      <c r="H32" s="10">
        <v>129</v>
      </c>
    </row>
    <row r="33" spans="1:8" x14ac:dyDescent="0.25">
      <c r="A33" s="4" t="s">
        <v>46</v>
      </c>
      <c r="B33" s="10">
        <v>1</v>
      </c>
      <c r="C33" s="10">
        <v>49</v>
      </c>
      <c r="D33" s="10">
        <v>17</v>
      </c>
      <c r="E33" s="10">
        <v>9</v>
      </c>
      <c r="F33" s="10">
        <v>19</v>
      </c>
      <c r="G33" s="10">
        <v>45</v>
      </c>
      <c r="H33" s="10">
        <v>4</v>
      </c>
    </row>
    <row r="34" spans="1:8" x14ac:dyDescent="0.25">
      <c r="A34" s="4" t="s">
        <v>47</v>
      </c>
      <c r="B34" s="10">
        <v>3</v>
      </c>
      <c r="C34" s="10">
        <v>153</v>
      </c>
      <c r="D34" s="10">
        <v>77</v>
      </c>
      <c r="E34" s="10">
        <v>40</v>
      </c>
      <c r="F34" s="10">
        <v>29</v>
      </c>
      <c r="G34" s="10">
        <v>146</v>
      </c>
      <c r="H34" s="10">
        <v>7</v>
      </c>
    </row>
    <row r="35" spans="1:8" x14ac:dyDescent="0.25">
      <c r="A35" s="4" t="s">
        <v>48</v>
      </c>
      <c r="B35" s="10">
        <v>3</v>
      </c>
      <c r="C35" s="10">
        <v>116</v>
      </c>
      <c r="D35" s="10">
        <v>22</v>
      </c>
      <c r="E35" s="10">
        <v>79</v>
      </c>
      <c r="F35" s="10">
        <v>0</v>
      </c>
      <c r="G35" s="10">
        <v>101</v>
      </c>
      <c r="H35" s="10">
        <v>15</v>
      </c>
    </row>
    <row r="36" spans="1:8" x14ac:dyDescent="0.25">
      <c r="A36" s="4" t="s">
        <v>49</v>
      </c>
      <c r="B36" s="10">
        <v>16</v>
      </c>
      <c r="C36" s="10">
        <v>595</v>
      </c>
      <c r="D36" s="10">
        <v>159</v>
      </c>
      <c r="E36" s="10">
        <v>352</v>
      </c>
      <c r="F36" s="10">
        <v>0</v>
      </c>
      <c r="G36" s="10">
        <v>511</v>
      </c>
      <c r="H36" s="10">
        <v>84</v>
      </c>
    </row>
    <row r="37" spans="1:8" x14ac:dyDescent="0.25">
      <c r="A37" s="4" t="s">
        <v>50</v>
      </c>
      <c r="B37" s="10">
        <v>2</v>
      </c>
      <c r="C37" s="10">
        <v>252</v>
      </c>
      <c r="D37" s="10">
        <v>79</v>
      </c>
      <c r="E37" s="10">
        <v>35</v>
      </c>
      <c r="F37" s="10">
        <v>0</v>
      </c>
      <c r="G37" s="10">
        <v>114</v>
      </c>
      <c r="H37" s="10">
        <v>138</v>
      </c>
    </row>
    <row r="38" spans="1:8" x14ac:dyDescent="0.25">
      <c r="A38" s="4" t="s">
        <v>51</v>
      </c>
      <c r="B38" s="10">
        <v>3</v>
      </c>
      <c r="C38" s="10">
        <v>924</v>
      </c>
      <c r="D38" s="10">
        <v>120</v>
      </c>
      <c r="E38" s="10">
        <v>402</v>
      </c>
      <c r="F38" s="10">
        <v>0</v>
      </c>
      <c r="G38" s="10">
        <v>522</v>
      </c>
      <c r="H38" s="10">
        <v>402</v>
      </c>
    </row>
    <row r="39" spans="1:8" x14ac:dyDescent="0.25">
      <c r="A39" s="4" t="s">
        <v>52</v>
      </c>
      <c r="B39" s="10">
        <v>24</v>
      </c>
      <c r="C39" s="10">
        <v>1251</v>
      </c>
      <c r="D39" s="10">
        <v>730</v>
      </c>
      <c r="E39" s="10">
        <v>415</v>
      </c>
      <c r="F39" s="10">
        <v>69</v>
      </c>
      <c r="G39" s="10">
        <v>1214</v>
      </c>
      <c r="H39" s="10">
        <v>37</v>
      </c>
    </row>
    <row r="40" spans="1:8" x14ac:dyDescent="0.25">
      <c r="A40" s="4" t="s">
        <v>53</v>
      </c>
      <c r="B40" s="10">
        <v>9</v>
      </c>
      <c r="C40" s="10">
        <v>730</v>
      </c>
      <c r="D40" s="10">
        <v>330</v>
      </c>
      <c r="E40" s="10">
        <v>324</v>
      </c>
      <c r="F40" s="10">
        <v>44</v>
      </c>
      <c r="G40" s="10">
        <v>698</v>
      </c>
      <c r="H40" s="10">
        <v>32</v>
      </c>
    </row>
    <row r="41" spans="1:8" x14ac:dyDescent="0.25">
      <c r="A41" s="4" t="s">
        <v>54</v>
      </c>
      <c r="B41" s="10">
        <v>8</v>
      </c>
      <c r="C41" s="10">
        <v>325</v>
      </c>
      <c r="D41" s="10">
        <v>120</v>
      </c>
      <c r="E41" s="10">
        <v>80</v>
      </c>
      <c r="F41" s="10">
        <v>2</v>
      </c>
      <c r="G41" s="10">
        <v>202</v>
      </c>
      <c r="H41" s="10">
        <v>123</v>
      </c>
    </row>
    <row r="42" spans="1:8" x14ac:dyDescent="0.25">
      <c r="A42" s="4" t="s">
        <v>55</v>
      </c>
      <c r="B42" s="10">
        <v>8</v>
      </c>
      <c r="C42" s="10">
        <v>1329</v>
      </c>
      <c r="D42" s="10">
        <v>311</v>
      </c>
      <c r="E42" s="10">
        <v>343</v>
      </c>
      <c r="F42" s="10">
        <v>0</v>
      </c>
      <c r="G42" s="10">
        <v>654</v>
      </c>
      <c r="H42" s="10">
        <v>675</v>
      </c>
    </row>
    <row r="43" spans="1:8" x14ac:dyDescent="0.25">
      <c r="A43" s="4" t="s">
        <v>56</v>
      </c>
      <c r="B43" s="10">
        <v>16</v>
      </c>
      <c r="C43" s="10">
        <v>977</v>
      </c>
      <c r="D43" s="10">
        <v>329</v>
      </c>
      <c r="E43" s="10">
        <v>531</v>
      </c>
      <c r="F43" s="10">
        <v>60</v>
      </c>
      <c r="G43" s="10">
        <v>920</v>
      </c>
      <c r="H43" s="10">
        <v>57</v>
      </c>
    </row>
    <row r="44" spans="1:8" x14ac:dyDescent="0.25">
      <c r="A44" s="4" t="s">
        <v>57</v>
      </c>
      <c r="B44" s="10">
        <v>2</v>
      </c>
      <c r="C44" s="10">
        <v>88</v>
      </c>
      <c r="D44" s="10">
        <v>1</v>
      </c>
      <c r="E44" s="10">
        <v>15</v>
      </c>
      <c r="F44" s="10">
        <v>0</v>
      </c>
      <c r="G44" s="10">
        <v>16</v>
      </c>
      <c r="H44" s="10">
        <v>72</v>
      </c>
    </row>
    <row r="45" spans="1:8" x14ac:dyDescent="0.25">
      <c r="A45" s="4" t="s">
        <v>58</v>
      </c>
      <c r="B45" s="10">
        <v>1</v>
      </c>
      <c r="C45" s="10">
        <v>92</v>
      </c>
      <c r="D45" s="10">
        <v>26</v>
      </c>
      <c r="E45" s="10">
        <v>58</v>
      </c>
      <c r="F45" s="10">
        <v>0</v>
      </c>
      <c r="G45" s="10">
        <v>84</v>
      </c>
      <c r="H45" s="10">
        <v>8</v>
      </c>
    </row>
    <row r="46" spans="1:8" x14ac:dyDescent="0.25">
      <c r="A46" s="4" t="s">
        <v>59</v>
      </c>
      <c r="B46" s="10">
        <v>4</v>
      </c>
      <c r="C46" s="10">
        <v>428</v>
      </c>
      <c r="D46" s="10">
        <v>115</v>
      </c>
      <c r="E46" s="10">
        <v>199</v>
      </c>
      <c r="F46" s="10">
        <v>3</v>
      </c>
      <c r="G46" s="10">
        <v>317</v>
      </c>
      <c r="H46" s="10">
        <v>111</v>
      </c>
    </row>
    <row r="47" spans="1:8" x14ac:dyDescent="0.25">
      <c r="A47" s="4" t="s">
        <v>60</v>
      </c>
      <c r="B47" s="10">
        <v>1</v>
      </c>
      <c r="C47" s="10">
        <v>43</v>
      </c>
      <c r="D47" s="10">
        <v>32</v>
      </c>
      <c r="E47" s="10">
        <v>5</v>
      </c>
      <c r="F47" s="10">
        <v>0</v>
      </c>
      <c r="G47" s="10">
        <v>37</v>
      </c>
      <c r="H47" s="10">
        <v>6</v>
      </c>
    </row>
    <row r="48" spans="1:8" x14ac:dyDescent="0.25">
      <c r="A48" s="4" t="s">
        <v>61</v>
      </c>
      <c r="B48" s="10">
        <v>10</v>
      </c>
      <c r="C48" s="10">
        <v>570</v>
      </c>
      <c r="D48" s="10">
        <v>160</v>
      </c>
      <c r="E48" s="10">
        <v>259</v>
      </c>
      <c r="F48" s="10">
        <v>5</v>
      </c>
      <c r="G48" s="10">
        <v>424</v>
      </c>
      <c r="H48" s="10">
        <v>146</v>
      </c>
    </row>
    <row r="49" spans="1:8" x14ac:dyDescent="0.25">
      <c r="A49" s="4" t="s">
        <v>62</v>
      </c>
      <c r="B49" s="10">
        <v>11</v>
      </c>
      <c r="C49" s="10">
        <v>1948</v>
      </c>
      <c r="D49" s="10">
        <v>637</v>
      </c>
      <c r="E49" s="10">
        <v>374</v>
      </c>
      <c r="F49" s="10">
        <v>106</v>
      </c>
      <c r="G49" s="10">
        <v>1117</v>
      </c>
      <c r="H49" s="10">
        <v>831</v>
      </c>
    </row>
    <row r="50" spans="1:8" x14ac:dyDescent="0.25">
      <c r="A50" s="4" t="s">
        <v>63</v>
      </c>
      <c r="B50" s="10">
        <v>3</v>
      </c>
      <c r="C50" s="10">
        <v>114</v>
      </c>
      <c r="D50" s="10">
        <v>54</v>
      </c>
      <c r="E50" s="10">
        <v>44</v>
      </c>
      <c r="F50" s="10">
        <v>0</v>
      </c>
      <c r="G50" s="10">
        <v>98</v>
      </c>
      <c r="H50" s="10">
        <v>16</v>
      </c>
    </row>
    <row r="51" spans="1:8" x14ac:dyDescent="0.25">
      <c r="A51" s="4" t="s">
        <v>64</v>
      </c>
      <c r="B51" s="10">
        <v>16</v>
      </c>
      <c r="C51" s="10">
        <v>395</v>
      </c>
      <c r="D51" s="10">
        <v>252</v>
      </c>
      <c r="E51" s="10">
        <v>45</v>
      </c>
      <c r="F51" s="10">
        <v>26</v>
      </c>
      <c r="G51" s="10">
        <v>323</v>
      </c>
      <c r="H51" s="10">
        <v>72</v>
      </c>
    </row>
    <row r="52" spans="1:8" x14ac:dyDescent="0.25">
      <c r="A52" s="4" t="s">
        <v>65</v>
      </c>
      <c r="B52" s="10">
        <v>1</v>
      </c>
      <c r="C52" s="10">
        <v>13</v>
      </c>
      <c r="D52" s="10">
        <v>0</v>
      </c>
      <c r="E52" s="10">
        <v>0</v>
      </c>
      <c r="F52" s="10">
        <v>0</v>
      </c>
      <c r="G52" s="10">
        <v>0</v>
      </c>
      <c r="H52" s="10">
        <v>13</v>
      </c>
    </row>
    <row r="53" spans="1:8" x14ac:dyDescent="0.25">
      <c r="A53" s="4" t="s">
        <v>66</v>
      </c>
      <c r="B53" s="10">
        <v>2</v>
      </c>
      <c r="C53" s="10">
        <v>71</v>
      </c>
      <c r="D53" s="10">
        <v>26</v>
      </c>
      <c r="E53" s="10">
        <v>41</v>
      </c>
      <c r="F53" s="10">
        <v>0</v>
      </c>
      <c r="G53" s="10">
        <v>67</v>
      </c>
      <c r="H53" s="10">
        <v>4</v>
      </c>
    </row>
    <row r="54" spans="1:8" x14ac:dyDescent="0.25">
      <c r="A54" s="4" t="s">
        <v>67</v>
      </c>
      <c r="B54" s="10">
        <v>6</v>
      </c>
      <c r="C54" s="10">
        <v>1607</v>
      </c>
      <c r="D54" s="10">
        <v>558</v>
      </c>
      <c r="E54" s="10">
        <v>269</v>
      </c>
      <c r="F54" s="10">
        <v>39</v>
      </c>
      <c r="G54" s="10">
        <v>866</v>
      </c>
      <c r="H54" s="10">
        <v>741</v>
      </c>
    </row>
    <row r="55" spans="1:8" x14ac:dyDescent="0.25">
      <c r="A55" s="4" t="s">
        <v>68</v>
      </c>
      <c r="B55" s="10">
        <v>4</v>
      </c>
      <c r="C55" s="10">
        <v>337</v>
      </c>
      <c r="D55" s="10">
        <v>102</v>
      </c>
      <c r="E55" s="10">
        <v>217</v>
      </c>
      <c r="F55" s="10">
        <v>1</v>
      </c>
      <c r="G55" s="10">
        <v>320</v>
      </c>
      <c r="H55" s="10">
        <v>17</v>
      </c>
    </row>
    <row r="56" spans="1:8" x14ac:dyDescent="0.25">
      <c r="A56" s="4" t="s">
        <v>69</v>
      </c>
      <c r="B56" s="10">
        <v>4</v>
      </c>
      <c r="C56" s="10">
        <v>104</v>
      </c>
      <c r="D56" s="10">
        <v>62</v>
      </c>
      <c r="E56" s="10">
        <v>26</v>
      </c>
      <c r="F56" s="10">
        <v>0</v>
      </c>
      <c r="G56" s="10">
        <v>88</v>
      </c>
      <c r="H56" s="10">
        <v>16</v>
      </c>
    </row>
    <row r="57" spans="1:8" x14ac:dyDescent="0.25">
      <c r="A57" s="4" t="s">
        <v>70</v>
      </c>
      <c r="B57" s="10">
        <v>1</v>
      </c>
      <c r="C57" s="10">
        <v>51</v>
      </c>
      <c r="D57" s="10">
        <v>24</v>
      </c>
      <c r="E57" s="10">
        <v>21</v>
      </c>
      <c r="F57" s="10">
        <v>0</v>
      </c>
      <c r="G57" s="10">
        <v>45</v>
      </c>
      <c r="H57" s="10">
        <v>6</v>
      </c>
    </row>
    <row r="58" spans="1:8" x14ac:dyDescent="0.25">
      <c r="A58" s="6" t="s">
        <v>71</v>
      </c>
      <c r="B58" s="11">
        <v>392</v>
      </c>
      <c r="C58" s="11">
        <v>37252</v>
      </c>
      <c r="D58" s="11">
        <v>10142</v>
      </c>
      <c r="E58" s="11">
        <v>10872</v>
      </c>
      <c r="F58" s="11">
        <v>1034</v>
      </c>
      <c r="G58" s="11">
        <v>22048</v>
      </c>
      <c r="H58" s="11">
        <v>15204</v>
      </c>
    </row>
    <row r="59" spans="1:8" ht="14.1" customHeight="1" x14ac:dyDescent="0.25">
      <c r="A59" s="8"/>
    </row>
    <row r="60" spans="1:8" x14ac:dyDescent="0.25">
      <c r="A60" s="12" t="s">
        <v>151</v>
      </c>
    </row>
  </sheetData>
  <pageMargins left="0.08" right="0.08"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E763C-FF06-4F99-8103-8D9359490311}">
  <dimension ref="A1:H60"/>
  <sheetViews>
    <sheetView workbookViewId="0">
      <selection activeCell="A20" sqref="A20"/>
    </sheetView>
  </sheetViews>
  <sheetFormatPr defaultRowHeight="15" x14ac:dyDescent="0.25"/>
  <cols>
    <col min="1" max="1" width="11.42578125" style="1" bestFit="1" customWidth="1"/>
    <col min="2" max="8" width="17.140625" style="1" bestFit="1" customWidth="1"/>
    <col min="9" max="16384" width="9.140625" style="1"/>
  </cols>
  <sheetData>
    <row r="1" spans="1:8" ht="39" x14ac:dyDescent="0.25">
      <c r="A1" s="2" t="s">
        <v>72</v>
      </c>
      <c r="B1" s="9" t="s">
        <v>73</v>
      </c>
      <c r="C1" s="9" t="s">
        <v>104</v>
      </c>
      <c r="D1" s="9" t="s">
        <v>105</v>
      </c>
      <c r="E1" s="9" t="s">
        <v>106</v>
      </c>
      <c r="F1" s="9" t="s">
        <v>107</v>
      </c>
      <c r="G1" s="9" t="s">
        <v>108</v>
      </c>
      <c r="H1" s="9" t="s">
        <v>109</v>
      </c>
    </row>
    <row r="2" spans="1:8" x14ac:dyDescent="0.25">
      <c r="A2" s="4" t="s">
        <v>14</v>
      </c>
      <c r="B2" s="10">
        <v>2</v>
      </c>
      <c r="C2" s="10">
        <v>111</v>
      </c>
      <c r="D2" s="10">
        <v>53</v>
      </c>
      <c r="E2" s="10">
        <v>32</v>
      </c>
      <c r="F2" s="10">
        <v>0</v>
      </c>
      <c r="G2" s="10">
        <v>85</v>
      </c>
      <c r="H2" s="10">
        <v>26</v>
      </c>
    </row>
    <row r="3" spans="1:8" x14ac:dyDescent="0.25">
      <c r="A3" s="4" t="s">
        <v>15</v>
      </c>
      <c r="B3" s="10">
        <v>8</v>
      </c>
      <c r="C3" s="10">
        <v>292</v>
      </c>
      <c r="D3" s="10">
        <v>164</v>
      </c>
      <c r="E3" s="10">
        <v>59</v>
      </c>
      <c r="F3" s="10">
        <v>0</v>
      </c>
      <c r="G3" s="10">
        <v>223</v>
      </c>
      <c r="H3" s="10">
        <v>69</v>
      </c>
    </row>
    <row r="4" spans="1:8" x14ac:dyDescent="0.25">
      <c r="A4" s="4" t="s">
        <v>16</v>
      </c>
      <c r="B4" s="10">
        <v>5</v>
      </c>
      <c r="C4" s="10">
        <v>238</v>
      </c>
      <c r="D4" s="10">
        <v>80</v>
      </c>
      <c r="E4" s="10">
        <v>73</v>
      </c>
      <c r="F4" s="10">
        <v>0</v>
      </c>
      <c r="G4" s="10">
        <v>153</v>
      </c>
      <c r="H4" s="10">
        <v>85</v>
      </c>
    </row>
    <row r="5" spans="1:8" x14ac:dyDescent="0.25">
      <c r="A5" s="4" t="s">
        <v>17</v>
      </c>
      <c r="B5" s="10">
        <v>0</v>
      </c>
      <c r="C5" s="10" t="s">
        <v>18</v>
      </c>
      <c r="D5" s="10" t="s">
        <v>18</v>
      </c>
      <c r="E5" s="10" t="s">
        <v>18</v>
      </c>
      <c r="F5" s="10" t="s">
        <v>18</v>
      </c>
      <c r="G5" s="10" t="s">
        <v>18</v>
      </c>
      <c r="H5" s="10" t="s">
        <v>18</v>
      </c>
    </row>
    <row r="6" spans="1:8" x14ac:dyDescent="0.25">
      <c r="A6" s="4" t="s">
        <v>19</v>
      </c>
      <c r="B6" s="10">
        <v>3</v>
      </c>
      <c r="C6" s="10">
        <v>910</v>
      </c>
      <c r="D6" s="10">
        <v>218</v>
      </c>
      <c r="E6" s="10">
        <v>333</v>
      </c>
      <c r="F6" s="10">
        <v>47</v>
      </c>
      <c r="G6" s="10">
        <v>598</v>
      </c>
      <c r="H6" s="10">
        <v>312</v>
      </c>
    </row>
    <row r="7" spans="1:8" x14ac:dyDescent="0.25">
      <c r="A7" s="4" t="s">
        <v>20</v>
      </c>
      <c r="B7" s="10">
        <v>44</v>
      </c>
      <c r="C7" s="10">
        <v>10980</v>
      </c>
      <c r="D7" s="10">
        <v>1436</v>
      </c>
      <c r="E7" s="10">
        <v>1609</v>
      </c>
      <c r="F7" s="10">
        <v>216</v>
      </c>
      <c r="G7" s="10">
        <v>3261</v>
      </c>
      <c r="H7" s="10">
        <v>7719</v>
      </c>
    </row>
    <row r="8" spans="1:8" x14ac:dyDescent="0.25">
      <c r="A8" s="4" t="s">
        <v>21</v>
      </c>
      <c r="B8" s="10">
        <v>3</v>
      </c>
      <c r="C8" s="10">
        <v>1068</v>
      </c>
      <c r="D8" s="10">
        <v>494</v>
      </c>
      <c r="E8" s="10">
        <v>289</v>
      </c>
      <c r="F8" s="10">
        <v>9</v>
      </c>
      <c r="G8" s="10">
        <v>792</v>
      </c>
      <c r="H8" s="10">
        <v>276</v>
      </c>
    </row>
    <row r="9" spans="1:8" x14ac:dyDescent="0.25">
      <c r="A9" s="4" t="s">
        <v>22</v>
      </c>
      <c r="B9" s="10">
        <v>2</v>
      </c>
      <c r="C9" s="10">
        <v>195</v>
      </c>
      <c r="D9" s="10">
        <v>50</v>
      </c>
      <c r="E9" s="10">
        <v>132</v>
      </c>
      <c r="F9" s="10">
        <v>0</v>
      </c>
      <c r="G9" s="10">
        <v>182</v>
      </c>
      <c r="H9" s="10">
        <v>13</v>
      </c>
    </row>
    <row r="10" spans="1:8" x14ac:dyDescent="0.25">
      <c r="A10" s="4" t="s">
        <v>23</v>
      </c>
      <c r="B10" s="10">
        <v>1</v>
      </c>
      <c r="C10" s="10">
        <v>297</v>
      </c>
      <c r="D10" s="10">
        <v>124</v>
      </c>
      <c r="E10" s="10">
        <v>138</v>
      </c>
      <c r="F10" s="10">
        <v>0</v>
      </c>
      <c r="G10" s="10">
        <v>262</v>
      </c>
      <c r="H10" s="10">
        <v>35</v>
      </c>
    </row>
    <row r="11" spans="1:8" x14ac:dyDescent="0.25">
      <c r="A11" s="4" t="s">
        <v>24</v>
      </c>
      <c r="B11" s="10">
        <v>1</v>
      </c>
      <c r="C11" s="10">
        <v>65</v>
      </c>
      <c r="D11" s="10">
        <v>26</v>
      </c>
      <c r="E11" s="10">
        <v>35</v>
      </c>
      <c r="F11" s="10">
        <v>0</v>
      </c>
      <c r="G11" s="10">
        <v>61</v>
      </c>
      <c r="H11" s="10">
        <v>4</v>
      </c>
    </row>
    <row r="12" spans="1:8" x14ac:dyDescent="0.25">
      <c r="A12" s="4" t="s">
        <v>25</v>
      </c>
      <c r="B12" s="10">
        <v>27</v>
      </c>
      <c r="C12" s="10">
        <v>2472</v>
      </c>
      <c r="D12" s="10">
        <v>576</v>
      </c>
      <c r="E12" s="10">
        <v>894</v>
      </c>
      <c r="F12" s="10">
        <v>106</v>
      </c>
      <c r="G12" s="10">
        <v>1576</v>
      </c>
      <c r="H12" s="10">
        <v>896</v>
      </c>
    </row>
    <row r="13" spans="1:8" x14ac:dyDescent="0.25">
      <c r="A13" s="4" t="s">
        <v>26</v>
      </c>
      <c r="B13" s="10">
        <v>9</v>
      </c>
      <c r="C13" s="10">
        <v>801</v>
      </c>
      <c r="D13" s="10">
        <v>271</v>
      </c>
      <c r="E13" s="10">
        <v>177</v>
      </c>
      <c r="F13" s="10">
        <v>0</v>
      </c>
      <c r="G13" s="10">
        <v>448</v>
      </c>
      <c r="H13" s="10">
        <v>353</v>
      </c>
    </row>
    <row r="14" spans="1:8" x14ac:dyDescent="0.25">
      <c r="A14" s="4" t="s">
        <v>27</v>
      </c>
      <c r="B14" s="10">
        <v>1</v>
      </c>
      <c r="C14" s="10">
        <v>23</v>
      </c>
      <c r="D14" s="10">
        <v>5</v>
      </c>
      <c r="E14" s="10">
        <v>0</v>
      </c>
      <c r="F14" s="10">
        <v>0</v>
      </c>
      <c r="G14" s="10">
        <v>5</v>
      </c>
      <c r="H14" s="10">
        <v>18</v>
      </c>
    </row>
    <row r="15" spans="1:8" x14ac:dyDescent="0.25">
      <c r="A15" s="4" t="s">
        <v>28</v>
      </c>
      <c r="B15" s="10">
        <v>2</v>
      </c>
      <c r="C15" s="10">
        <v>505</v>
      </c>
      <c r="D15" s="10">
        <v>102</v>
      </c>
      <c r="E15" s="10">
        <v>108</v>
      </c>
      <c r="F15" s="10">
        <v>0</v>
      </c>
      <c r="G15" s="10">
        <v>210</v>
      </c>
      <c r="H15" s="10">
        <v>295</v>
      </c>
    </row>
    <row r="16" spans="1:8" x14ac:dyDescent="0.25">
      <c r="A16" s="4" t="s">
        <v>29</v>
      </c>
      <c r="B16" s="10">
        <v>3</v>
      </c>
      <c r="C16" s="10">
        <v>149</v>
      </c>
      <c r="D16" s="10">
        <v>71</v>
      </c>
      <c r="E16" s="10">
        <v>42</v>
      </c>
      <c r="F16" s="10">
        <v>24</v>
      </c>
      <c r="G16" s="10">
        <v>137</v>
      </c>
      <c r="H16" s="10">
        <v>12</v>
      </c>
    </row>
    <row r="17" spans="1:8" x14ac:dyDescent="0.25">
      <c r="A17" s="4" t="s">
        <v>30</v>
      </c>
      <c r="B17" s="10">
        <v>2</v>
      </c>
      <c r="C17" s="10">
        <v>201</v>
      </c>
      <c r="D17" s="10">
        <v>78</v>
      </c>
      <c r="E17" s="10">
        <v>51</v>
      </c>
      <c r="F17" s="10">
        <v>0</v>
      </c>
      <c r="G17" s="10">
        <v>129</v>
      </c>
      <c r="H17" s="10">
        <v>72</v>
      </c>
    </row>
    <row r="18" spans="1:8" x14ac:dyDescent="0.25">
      <c r="A18" s="4" t="s">
        <v>31</v>
      </c>
      <c r="B18" s="10">
        <v>19</v>
      </c>
      <c r="C18" s="10">
        <v>690</v>
      </c>
      <c r="D18" s="10">
        <v>299</v>
      </c>
      <c r="E18" s="10">
        <v>214</v>
      </c>
      <c r="F18" s="10">
        <v>23</v>
      </c>
      <c r="G18" s="10">
        <v>536</v>
      </c>
      <c r="H18" s="10">
        <v>154</v>
      </c>
    </row>
    <row r="19" spans="1:8" x14ac:dyDescent="0.25">
      <c r="A19" s="4" t="s">
        <v>32</v>
      </c>
      <c r="B19" s="10">
        <v>2</v>
      </c>
      <c r="C19" s="10">
        <v>572</v>
      </c>
      <c r="D19" s="10">
        <v>229</v>
      </c>
      <c r="E19" s="10">
        <v>278</v>
      </c>
      <c r="F19" s="10">
        <v>22</v>
      </c>
      <c r="G19" s="10">
        <v>529</v>
      </c>
      <c r="H19" s="10">
        <v>43</v>
      </c>
    </row>
    <row r="20" spans="1:8" x14ac:dyDescent="0.25">
      <c r="A20" s="4" t="s">
        <v>149</v>
      </c>
      <c r="B20" s="10">
        <v>5</v>
      </c>
      <c r="C20" s="10">
        <v>189</v>
      </c>
      <c r="D20" s="10">
        <v>130</v>
      </c>
      <c r="E20" s="10">
        <v>25</v>
      </c>
      <c r="F20" s="10">
        <v>0</v>
      </c>
      <c r="G20" s="10">
        <v>155</v>
      </c>
      <c r="H20" s="10">
        <v>34</v>
      </c>
    </row>
    <row r="21" spans="1:8" x14ac:dyDescent="0.25">
      <c r="A21" s="4" t="s">
        <v>34</v>
      </c>
      <c r="B21" s="10">
        <v>3</v>
      </c>
      <c r="C21" s="10">
        <v>447</v>
      </c>
      <c r="D21" s="10">
        <v>132</v>
      </c>
      <c r="E21" s="10">
        <v>280</v>
      </c>
      <c r="F21" s="10">
        <v>0</v>
      </c>
      <c r="G21" s="10">
        <v>412</v>
      </c>
      <c r="H21" s="10">
        <v>35</v>
      </c>
    </row>
    <row r="22" spans="1:8" x14ac:dyDescent="0.25">
      <c r="A22" s="4" t="s">
        <v>35</v>
      </c>
      <c r="B22" s="10">
        <v>7</v>
      </c>
      <c r="C22" s="10">
        <v>360</v>
      </c>
      <c r="D22" s="10">
        <v>104</v>
      </c>
      <c r="E22" s="10">
        <v>190</v>
      </c>
      <c r="F22" s="10">
        <v>23</v>
      </c>
      <c r="G22" s="10">
        <v>317</v>
      </c>
      <c r="H22" s="10">
        <v>43</v>
      </c>
    </row>
    <row r="23" spans="1:8" x14ac:dyDescent="0.25">
      <c r="A23" s="4" t="s">
        <v>36</v>
      </c>
      <c r="B23" s="10">
        <v>15</v>
      </c>
      <c r="C23" s="10">
        <v>917</v>
      </c>
      <c r="D23" s="10">
        <v>262</v>
      </c>
      <c r="E23" s="10">
        <v>579</v>
      </c>
      <c r="F23" s="10">
        <v>43</v>
      </c>
      <c r="G23" s="10">
        <v>884</v>
      </c>
      <c r="H23" s="10">
        <v>33</v>
      </c>
    </row>
    <row r="24" spans="1:8" x14ac:dyDescent="0.25">
      <c r="A24" s="4" t="s">
        <v>37</v>
      </c>
      <c r="B24" s="10">
        <v>16</v>
      </c>
      <c r="C24" s="10">
        <v>490</v>
      </c>
      <c r="D24" s="10">
        <v>165</v>
      </c>
      <c r="E24" s="10">
        <v>235</v>
      </c>
      <c r="F24" s="10">
        <v>11</v>
      </c>
      <c r="G24" s="10">
        <v>411</v>
      </c>
      <c r="H24" s="10">
        <v>79</v>
      </c>
    </row>
    <row r="25" spans="1:8" x14ac:dyDescent="0.25">
      <c r="A25" s="4" t="s">
        <v>38</v>
      </c>
      <c r="B25" s="10">
        <v>1</v>
      </c>
      <c r="C25" s="10">
        <v>116</v>
      </c>
      <c r="D25" s="10">
        <v>48</v>
      </c>
      <c r="E25" s="10">
        <v>59</v>
      </c>
      <c r="F25" s="10">
        <v>1</v>
      </c>
      <c r="G25" s="10">
        <v>108</v>
      </c>
      <c r="H25" s="10">
        <v>8</v>
      </c>
    </row>
    <row r="26" spans="1:8" x14ac:dyDescent="0.25">
      <c r="A26" s="4" t="s">
        <v>39</v>
      </c>
      <c r="B26" s="10">
        <v>21</v>
      </c>
      <c r="C26" s="10">
        <v>599</v>
      </c>
      <c r="D26" s="10">
        <v>249</v>
      </c>
      <c r="E26" s="10">
        <v>278</v>
      </c>
      <c r="F26" s="10">
        <v>47</v>
      </c>
      <c r="G26" s="10">
        <v>574</v>
      </c>
      <c r="H26" s="10">
        <v>25</v>
      </c>
    </row>
    <row r="27" spans="1:8" x14ac:dyDescent="0.25">
      <c r="A27" s="4" t="s">
        <v>40</v>
      </c>
      <c r="B27" s="10">
        <v>10</v>
      </c>
      <c r="C27" s="10">
        <v>297</v>
      </c>
      <c r="D27" s="10">
        <v>137</v>
      </c>
      <c r="E27" s="10">
        <v>94</v>
      </c>
      <c r="F27" s="10">
        <v>3</v>
      </c>
      <c r="G27" s="10">
        <v>234</v>
      </c>
      <c r="H27" s="10">
        <v>63</v>
      </c>
    </row>
    <row r="28" spans="1:8" x14ac:dyDescent="0.25">
      <c r="A28" s="4" t="s">
        <v>41</v>
      </c>
      <c r="B28" s="10">
        <v>8</v>
      </c>
      <c r="C28" s="10">
        <v>488</v>
      </c>
      <c r="D28" s="10">
        <v>214</v>
      </c>
      <c r="E28" s="10">
        <v>160</v>
      </c>
      <c r="F28" s="10">
        <v>19</v>
      </c>
      <c r="G28" s="10">
        <v>393</v>
      </c>
      <c r="H28" s="10">
        <v>95</v>
      </c>
    </row>
    <row r="29" spans="1:8" x14ac:dyDescent="0.25">
      <c r="A29" s="4" t="s">
        <v>42</v>
      </c>
      <c r="B29" s="10">
        <v>1</v>
      </c>
      <c r="C29" s="10">
        <v>4</v>
      </c>
      <c r="D29" s="10">
        <v>0</v>
      </c>
      <c r="E29" s="10">
        <v>0</v>
      </c>
      <c r="F29" s="10">
        <v>0</v>
      </c>
      <c r="G29" s="10">
        <v>0</v>
      </c>
      <c r="H29" s="10">
        <v>4</v>
      </c>
    </row>
    <row r="30" spans="1:8" x14ac:dyDescent="0.25">
      <c r="A30" s="4" t="s">
        <v>43</v>
      </c>
      <c r="B30" s="10">
        <v>3</v>
      </c>
      <c r="C30" s="10">
        <v>72</v>
      </c>
      <c r="D30" s="10">
        <v>20</v>
      </c>
      <c r="E30" s="10">
        <v>29</v>
      </c>
      <c r="F30" s="10">
        <v>0</v>
      </c>
      <c r="G30" s="10">
        <v>49</v>
      </c>
      <c r="H30" s="10">
        <v>23</v>
      </c>
    </row>
    <row r="31" spans="1:8" x14ac:dyDescent="0.25">
      <c r="A31" s="4" t="s">
        <v>44</v>
      </c>
      <c r="B31" s="10">
        <v>1</v>
      </c>
      <c r="C31" s="10">
        <v>205</v>
      </c>
      <c r="D31" s="10">
        <v>62</v>
      </c>
      <c r="E31" s="10">
        <v>74</v>
      </c>
      <c r="F31" s="10">
        <v>0</v>
      </c>
      <c r="G31" s="10">
        <v>136</v>
      </c>
      <c r="H31" s="10">
        <v>69</v>
      </c>
    </row>
    <row r="32" spans="1:8" x14ac:dyDescent="0.25">
      <c r="A32" s="4" t="s">
        <v>45</v>
      </c>
      <c r="B32" s="10">
        <v>12</v>
      </c>
      <c r="C32" s="10">
        <v>907</v>
      </c>
      <c r="D32" s="10">
        <v>413</v>
      </c>
      <c r="E32" s="10">
        <v>350</v>
      </c>
      <c r="F32" s="10">
        <v>0</v>
      </c>
      <c r="G32" s="10">
        <v>763</v>
      </c>
      <c r="H32" s="10">
        <v>144</v>
      </c>
    </row>
    <row r="33" spans="1:8" x14ac:dyDescent="0.25">
      <c r="A33" s="4" t="s">
        <v>46</v>
      </c>
      <c r="B33" s="10">
        <v>1</v>
      </c>
      <c r="C33" s="10">
        <v>49</v>
      </c>
      <c r="D33" s="10">
        <v>18</v>
      </c>
      <c r="E33" s="10">
        <v>14</v>
      </c>
      <c r="F33" s="10">
        <v>17</v>
      </c>
      <c r="G33" s="10">
        <v>49</v>
      </c>
      <c r="H33" s="10">
        <v>0</v>
      </c>
    </row>
    <row r="34" spans="1:8" x14ac:dyDescent="0.25">
      <c r="A34" s="4" t="s">
        <v>47</v>
      </c>
      <c r="B34" s="10">
        <v>3</v>
      </c>
      <c r="C34" s="10">
        <v>175</v>
      </c>
      <c r="D34" s="10">
        <v>99</v>
      </c>
      <c r="E34" s="10">
        <v>42</v>
      </c>
      <c r="F34" s="10">
        <v>23</v>
      </c>
      <c r="G34" s="10">
        <v>164</v>
      </c>
      <c r="H34" s="10">
        <v>11</v>
      </c>
    </row>
    <row r="35" spans="1:8" x14ac:dyDescent="0.25">
      <c r="A35" s="4" t="s">
        <v>48</v>
      </c>
      <c r="B35" s="10">
        <v>3</v>
      </c>
      <c r="C35" s="10">
        <v>113</v>
      </c>
      <c r="D35" s="10">
        <v>18</v>
      </c>
      <c r="E35" s="10">
        <v>86</v>
      </c>
      <c r="F35" s="10">
        <v>2</v>
      </c>
      <c r="G35" s="10">
        <v>106</v>
      </c>
      <c r="H35" s="10">
        <v>7</v>
      </c>
    </row>
    <row r="36" spans="1:8" x14ac:dyDescent="0.25">
      <c r="A36" s="4" t="s">
        <v>49</v>
      </c>
      <c r="B36" s="10">
        <v>16</v>
      </c>
      <c r="C36" s="10">
        <v>551</v>
      </c>
      <c r="D36" s="10">
        <v>156</v>
      </c>
      <c r="E36" s="10">
        <v>326</v>
      </c>
      <c r="F36" s="10">
        <v>3</v>
      </c>
      <c r="G36" s="10">
        <v>485</v>
      </c>
      <c r="H36" s="10">
        <v>66</v>
      </c>
    </row>
    <row r="37" spans="1:8" x14ac:dyDescent="0.25">
      <c r="A37" s="4" t="s">
        <v>50</v>
      </c>
      <c r="B37" s="10">
        <v>2</v>
      </c>
      <c r="C37" s="10">
        <v>257</v>
      </c>
      <c r="D37" s="10">
        <v>84</v>
      </c>
      <c r="E37" s="10">
        <v>35</v>
      </c>
      <c r="F37" s="10">
        <v>0</v>
      </c>
      <c r="G37" s="10">
        <v>119</v>
      </c>
      <c r="H37" s="10">
        <v>138</v>
      </c>
    </row>
    <row r="38" spans="1:8" x14ac:dyDescent="0.25">
      <c r="A38" s="4" t="s">
        <v>51</v>
      </c>
      <c r="B38" s="10">
        <v>3</v>
      </c>
      <c r="C38" s="10">
        <v>674</v>
      </c>
      <c r="D38" s="10">
        <v>138</v>
      </c>
      <c r="E38" s="10">
        <v>370</v>
      </c>
      <c r="F38" s="10">
        <v>1</v>
      </c>
      <c r="G38" s="10">
        <v>509</v>
      </c>
      <c r="H38" s="10">
        <v>165</v>
      </c>
    </row>
    <row r="39" spans="1:8" x14ac:dyDescent="0.25">
      <c r="A39" s="4" t="s">
        <v>52</v>
      </c>
      <c r="B39" s="10">
        <v>27</v>
      </c>
      <c r="C39" s="10">
        <v>1270</v>
      </c>
      <c r="D39" s="10">
        <v>775</v>
      </c>
      <c r="E39" s="10">
        <v>394</v>
      </c>
      <c r="F39" s="10">
        <v>78</v>
      </c>
      <c r="G39" s="10">
        <v>1247</v>
      </c>
      <c r="H39" s="10">
        <v>23</v>
      </c>
    </row>
    <row r="40" spans="1:8" x14ac:dyDescent="0.25">
      <c r="A40" s="4" t="s">
        <v>53</v>
      </c>
      <c r="B40" s="10">
        <v>9</v>
      </c>
      <c r="C40" s="10">
        <v>676</v>
      </c>
      <c r="D40" s="10">
        <v>270</v>
      </c>
      <c r="E40" s="10">
        <v>285</v>
      </c>
      <c r="F40" s="10">
        <v>55</v>
      </c>
      <c r="G40" s="10">
        <v>610</v>
      </c>
      <c r="H40" s="10">
        <v>66</v>
      </c>
    </row>
    <row r="41" spans="1:8" x14ac:dyDescent="0.25">
      <c r="A41" s="4" t="s">
        <v>54</v>
      </c>
      <c r="B41" s="10">
        <v>8</v>
      </c>
      <c r="C41" s="10">
        <v>280</v>
      </c>
      <c r="D41" s="10">
        <v>160</v>
      </c>
      <c r="E41" s="10">
        <v>42</v>
      </c>
      <c r="F41" s="10">
        <v>1</v>
      </c>
      <c r="G41" s="10">
        <v>203</v>
      </c>
      <c r="H41" s="10">
        <v>77</v>
      </c>
    </row>
    <row r="42" spans="1:8" x14ac:dyDescent="0.25">
      <c r="A42" s="4" t="s">
        <v>55</v>
      </c>
      <c r="B42" s="10">
        <v>7</v>
      </c>
      <c r="C42" s="10">
        <v>1438</v>
      </c>
      <c r="D42" s="10">
        <v>307</v>
      </c>
      <c r="E42" s="10">
        <v>304</v>
      </c>
      <c r="F42" s="10">
        <v>0</v>
      </c>
      <c r="G42" s="10">
        <v>611</v>
      </c>
      <c r="H42" s="10">
        <v>827</v>
      </c>
    </row>
    <row r="43" spans="1:8" x14ac:dyDescent="0.25">
      <c r="A43" s="4" t="s">
        <v>56</v>
      </c>
      <c r="B43" s="10">
        <v>16</v>
      </c>
      <c r="C43" s="10">
        <v>857</v>
      </c>
      <c r="D43" s="10">
        <v>273</v>
      </c>
      <c r="E43" s="10">
        <v>492</v>
      </c>
      <c r="F43" s="10">
        <v>55</v>
      </c>
      <c r="G43" s="10">
        <v>820</v>
      </c>
      <c r="H43" s="10">
        <v>37</v>
      </c>
    </row>
    <row r="44" spans="1:8" x14ac:dyDescent="0.25">
      <c r="A44" s="4" t="s">
        <v>57</v>
      </c>
      <c r="B44" s="10">
        <v>2</v>
      </c>
      <c r="C44" s="10">
        <v>90</v>
      </c>
      <c r="D44" s="10">
        <v>2</v>
      </c>
      <c r="E44" s="10">
        <v>15</v>
      </c>
      <c r="F44" s="10">
        <v>1</v>
      </c>
      <c r="G44" s="10">
        <v>18</v>
      </c>
      <c r="H44" s="10">
        <v>72</v>
      </c>
    </row>
    <row r="45" spans="1:8" x14ac:dyDescent="0.25">
      <c r="A45" s="4" t="s">
        <v>58</v>
      </c>
      <c r="B45" s="10">
        <v>1</v>
      </c>
      <c r="C45" s="10">
        <v>92</v>
      </c>
      <c r="D45" s="10">
        <v>29</v>
      </c>
      <c r="E45" s="10">
        <v>60</v>
      </c>
      <c r="F45" s="10">
        <v>0</v>
      </c>
      <c r="G45" s="10">
        <v>89</v>
      </c>
      <c r="H45" s="10">
        <v>3</v>
      </c>
    </row>
    <row r="46" spans="1:8" x14ac:dyDescent="0.25">
      <c r="A46" s="4" t="s">
        <v>59</v>
      </c>
      <c r="B46" s="10">
        <v>4</v>
      </c>
      <c r="C46" s="10">
        <v>462</v>
      </c>
      <c r="D46" s="10">
        <v>150</v>
      </c>
      <c r="E46" s="10">
        <v>188</v>
      </c>
      <c r="F46" s="10">
        <v>5</v>
      </c>
      <c r="G46" s="10">
        <v>343</v>
      </c>
      <c r="H46" s="10">
        <v>119</v>
      </c>
    </row>
    <row r="47" spans="1:8" x14ac:dyDescent="0.25">
      <c r="A47" s="4" t="s">
        <v>60</v>
      </c>
      <c r="B47" s="10">
        <v>1</v>
      </c>
      <c r="C47" s="10">
        <v>66</v>
      </c>
      <c r="D47" s="10">
        <v>44</v>
      </c>
      <c r="E47" s="10">
        <v>11</v>
      </c>
      <c r="F47" s="10">
        <v>0</v>
      </c>
      <c r="G47" s="10">
        <v>55</v>
      </c>
      <c r="H47" s="10">
        <v>11</v>
      </c>
    </row>
    <row r="48" spans="1:8" x14ac:dyDescent="0.25">
      <c r="A48" s="4" t="s">
        <v>61</v>
      </c>
      <c r="B48" s="10">
        <v>10</v>
      </c>
      <c r="C48" s="10">
        <v>679</v>
      </c>
      <c r="D48" s="10">
        <v>225</v>
      </c>
      <c r="E48" s="10">
        <v>310</v>
      </c>
      <c r="F48" s="10">
        <v>4</v>
      </c>
      <c r="G48" s="10">
        <v>539</v>
      </c>
      <c r="H48" s="10">
        <v>140</v>
      </c>
    </row>
    <row r="49" spans="1:8" x14ac:dyDescent="0.25">
      <c r="A49" s="4" t="s">
        <v>62</v>
      </c>
      <c r="B49" s="10">
        <v>11</v>
      </c>
      <c r="C49" s="10">
        <v>1806</v>
      </c>
      <c r="D49" s="10">
        <v>743</v>
      </c>
      <c r="E49" s="10">
        <v>403</v>
      </c>
      <c r="F49" s="10">
        <v>79</v>
      </c>
      <c r="G49" s="10">
        <v>1225</v>
      </c>
      <c r="H49" s="10">
        <v>581</v>
      </c>
    </row>
    <row r="50" spans="1:8" x14ac:dyDescent="0.25">
      <c r="A50" s="4" t="s">
        <v>63</v>
      </c>
      <c r="B50" s="10">
        <v>3</v>
      </c>
      <c r="C50" s="10">
        <v>211</v>
      </c>
      <c r="D50" s="10">
        <v>108</v>
      </c>
      <c r="E50" s="10">
        <v>76</v>
      </c>
      <c r="F50" s="10">
        <v>0</v>
      </c>
      <c r="G50" s="10">
        <v>184</v>
      </c>
      <c r="H50" s="10">
        <v>27</v>
      </c>
    </row>
    <row r="51" spans="1:8" x14ac:dyDescent="0.25">
      <c r="A51" s="4" t="s">
        <v>64</v>
      </c>
      <c r="B51" s="10">
        <v>16</v>
      </c>
      <c r="C51" s="10">
        <v>447</v>
      </c>
      <c r="D51" s="10">
        <v>282</v>
      </c>
      <c r="E51" s="10">
        <v>61</v>
      </c>
      <c r="F51" s="10">
        <v>12</v>
      </c>
      <c r="G51" s="10">
        <v>355</v>
      </c>
      <c r="H51" s="10">
        <v>92</v>
      </c>
    </row>
    <row r="52" spans="1:8" x14ac:dyDescent="0.25">
      <c r="A52" s="4" t="s">
        <v>65</v>
      </c>
      <c r="B52" s="10">
        <v>1</v>
      </c>
      <c r="C52" s="10">
        <v>13</v>
      </c>
      <c r="D52" s="10">
        <v>0</v>
      </c>
      <c r="E52" s="10">
        <v>0</v>
      </c>
      <c r="F52" s="10">
        <v>0</v>
      </c>
      <c r="G52" s="10">
        <v>0</v>
      </c>
      <c r="H52" s="10">
        <v>13</v>
      </c>
    </row>
    <row r="53" spans="1:8" x14ac:dyDescent="0.25">
      <c r="A53" s="4" t="s">
        <v>66</v>
      </c>
      <c r="B53" s="10">
        <v>2</v>
      </c>
      <c r="C53" s="10">
        <v>87</v>
      </c>
      <c r="D53" s="10">
        <v>25</v>
      </c>
      <c r="E53" s="10">
        <v>53</v>
      </c>
      <c r="F53" s="10">
        <v>0</v>
      </c>
      <c r="G53" s="10">
        <v>78</v>
      </c>
      <c r="H53" s="10">
        <v>9</v>
      </c>
    </row>
    <row r="54" spans="1:8" x14ac:dyDescent="0.25">
      <c r="A54" s="4" t="s">
        <v>67</v>
      </c>
      <c r="B54" s="10">
        <v>6</v>
      </c>
      <c r="C54" s="10">
        <v>1585</v>
      </c>
      <c r="D54" s="10">
        <v>475</v>
      </c>
      <c r="E54" s="10">
        <v>341</v>
      </c>
      <c r="F54" s="10">
        <v>2</v>
      </c>
      <c r="G54" s="10">
        <v>818</v>
      </c>
      <c r="H54" s="10">
        <v>767</v>
      </c>
    </row>
    <row r="55" spans="1:8" x14ac:dyDescent="0.25">
      <c r="A55" s="4" t="s">
        <v>68</v>
      </c>
      <c r="B55" s="10">
        <v>4</v>
      </c>
      <c r="C55" s="10">
        <v>359</v>
      </c>
      <c r="D55" s="10">
        <v>107</v>
      </c>
      <c r="E55" s="10">
        <v>227</v>
      </c>
      <c r="F55" s="10">
        <v>0</v>
      </c>
      <c r="G55" s="10">
        <v>334</v>
      </c>
      <c r="H55" s="10">
        <v>25</v>
      </c>
    </row>
    <row r="56" spans="1:8" x14ac:dyDescent="0.25">
      <c r="A56" s="4" t="s">
        <v>69</v>
      </c>
      <c r="B56" s="10">
        <v>4</v>
      </c>
      <c r="C56" s="10">
        <v>137</v>
      </c>
      <c r="D56" s="10">
        <v>80</v>
      </c>
      <c r="E56" s="10">
        <v>33</v>
      </c>
      <c r="F56" s="10">
        <v>0</v>
      </c>
      <c r="G56" s="10">
        <v>113</v>
      </c>
      <c r="H56" s="10">
        <v>24</v>
      </c>
    </row>
    <row r="57" spans="1:8" x14ac:dyDescent="0.25">
      <c r="A57" s="4" t="s">
        <v>70</v>
      </c>
      <c r="B57" s="10">
        <v>1</v>
      </c>
      <c r="C57" s="10">
        <v>51</v>
      </c>
      <c r="D57" s="10">
        <v>22</v>
      </c>
      <c r="E57" s="10">
        <v>21</v>
      </c>
      <c r="F57" s="10">
        <v>0</v>
      </c>
      <c r="G57" s="10">
        <v>43</v>
      </c>
      <c r="H57" s="10">
        <v>8</v>
      </c>
    </row>
    <row r="58" spans="1:8" x14ac:dyDescent="0.25">
      <c r="A58" s="6" t="s">
        <v>71</v>
      </c>
      <c r="B58" s="11">
        <v>397</v>
      </c>
      <c r="C58" s="11">
        <v>37085</v>
      </c>
      <c r="D58" s="11">
        <v>10802</v>
      </c>
      <c r="E58" s="11">
        <v>11006</v>
      </c>
      <c r="F58" s="11">
        <v>932</v>
      </c>
      <c r="G58" s="11">
        <v>22740</v>
      </c>
      <c r="H58" s="11">
        <v>14345</v>
      </c>
    </row>
    <row r="59" spans="1:8" ht="14.1" customHeight="1" x14ac:dyDescent="0.25">
      <c r="A59" s="8"/>
    </row>
    <row r="60" spans="1:8" x14ac:dyDescent="0.25">
      <c r="A60" s="12" t="s">
        <v>151</v>
      </c>
    </row>
  </sheetData>
  <pageMargins left="0.08" right="0.08" top="1" bottom="1" header="0.5" footer="0.5"/>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BCCC0-FA01-415F-9220-144084A19CD5}">
  <dimension ref="A1:H60"/>
  <sheetViews>
    <sheetView workbookViewId="0">
      <selection activeCell="A20" sqref="A20"/>
    </sheetView>
  </sheetViews>
  <sheetFormatPr defaultRowHeight="15" x14ac:dyDescent="0.25"/>
  <cols>
    <col min="1" max="1" width="11.42578125" style="1" bestFit="1" customWidth="1"/>
    <col min="2" max="8" width="17.140625" style="1" bestFit="1" customWidth="1"/>
    <col min="9" max="16384" width="9.140625" style="1"/>
  </cols>
  <sheetData>
    <row r="1" spans="1:8" ht="39" x14ac:dyDescent="0.25">
      <c r="A1" s="2" t="s">
        <v>72</v>
      </c>
      <c r="B1" s="9" t="s">
        <v>73</v>
      </c>
      <c r="C1" s="9" t="s">
        <v>110</v>
      </c>
      <c r="D1" s="9" t="s">
        <v>111</v>
      </c>
      <c r="E1" s="9" t="s">
        <v>112</v>
      </c>
      <c r="F1" s="9" t="s">
        <v>113</v>
      </c>
      <c r="G1" s="9" t="s">
        <v>114</v>
      </c>
      <c r="H1" s="9" t="s">
        <v>115</v>
      </c>
    </row>
    <row r="2" spans="1:8" x14ac:dyDescent="0.25">
      <c r="A2" s="4" t="s">
        <v>14</v>
      </c>
      <c r="B2" s="10">
        <v>2</v>
      </c>
      <c r="C2" s="10">
        <v>132</v>
      </c>
      <c r="D2" s="10">
        <v>87</v>
      </c>
      <c r="E2" s="10">
        <v>23</v>
      </c>
      <c r="F2" s="10">
        <v>0</v>
      </c>
      <c r="G2" s="10">
        <v>110</v>
      </c>
      <c r="H2" s="10">
        <v>22</v>
      </c>
    </row>
    <row r="3" spans="1:8" x14ac:dyDescent="0.25">
      <c r="A3" s="4" t="s">
        <v>15</v>
      </c>
      <c r="B3" s="10">
        <v>8</v>
      </c>
      <c r="C3" s="10">
        <v>339</v>
      </c>
      <c r="D3" s="10">
        <v>170</v>
      </c>
      <c r="E3" s="10">
        <v>97</v>
      </c>
      <c r="F3" s="10">
        <v>0</v>
      </c>
      <c r="G3" s="10">
        <v>267</v>
      </c>
      <c r="H3" s="10">
        <v>72</v>
      </c>
    </row>
    <row r="4" spans="1:8" x14ac:dyDescent="0.25">
      <c r="A4" s="4" t="s">
        <v>16</v>
      </c>
      <c r="B4" s="10">
        <v>7</v>
      </c>
      <c r="C4" s="10">
        <v>251</v>
      </c>
      <c r="D4" s="10">
        <v>81</v>
      </c>
      <c r="E4" s="10">
        <v>69</v>
      </c>
      <c r="F4" s="10">
        <v>0</v>
      </c>
      <c r="G4" s="10">
        <v>150</v>
      </c>
      <c r="H4" s="10">
        <v>101</v>
      </c>
    </row>
    <row r="5" spans="1:8" x14ac:dyDescent="0.25">
      <c r="A5" s="4" t="s">
        <v>17</v>
      </c>
      <c r="B5" s="10">
        <v>0</v>
      </c>
      <c r="C5" s="10" t="s">
        <v>18</v>
      </c>
      <c r="D5" s="10" t="s">
        <v>18</v>
      </c>
      <c r="E5" s="10" t="s">
        <v>18</v>
      </c>
      <c r="F5" s="10" t="s">
        <v>18</v>
      </c>
      <c r="G5" s="10" t="s">
        <v>18</v>
      </c>
      <c r="H5" s="10" t="s">
        <v>18</v>
      </c>
    </row>
    <row r="6" spans="1:8" x14ac:dyDescent="0.25">
      <c r="A6" s="4" t="s">
        <v>19</v>
      </c>
      <c r="B6" s="10">
        <v>3</v>
      </c>
      <c r="C6" s="10">
        <v>893</v>
      </c>
      <c r="D6" s="10">
        <v>217</v>
      </c>
      <c r="E6" s="10">
        <v>295</v>
      </c>
      <c r="F6" s="10">
        <v>28</v>
      </c>
      <c r="G6" s="10">
        <v>540</v>
      </c>
      <c r="H6" s="10">
        <v>353</v>
      </c>
    </row>
    <row r="7" spans="1:8" x14ac:dyDescent="0.25">
      <c r="A7" s="4" t="s">
        <v>20</v>
      </c>
      <c r="B7" s="10">
        <v>43</v>
      </c>
      <c r="C7" s="10">
        <v>10836</v>
      </c>
      <c r="D7" s="10">
        <v>1486</v>
      </c>
      <c r="E7" s="10">
        <v>2000</v>
      </c>
      <c r="F7" s="10">
        <v>136</v>
      </c>
      <c r="G7" s="10">
        <v>3622</v>
      </c>
      <c r="H7" s="10">
        <v>7214</v>
      </c>
    </row>
    <row r="8" spans="1:8" x14ac:dyDescent="0.25">
      <c r="A8" s="4" t="s">
        <v>21</v>
      </c>
      <c r="B8" s="10">
        <v>3</v>
      </c>
      <c r="C8" s="10">
        <v>1073</v>
      </c>
      <c r="D8" s="10">
        <v>468</v>
      </c>
      <c r="E8" s="10">
        <v>187</v>
      </c>
      <c r="F8" s="10">
        <v>2</v>
      </c>
      <c r="G8" s="10">
        <v>657</v>
      </c>
      <c r="H8" s="10">
        <v>416</v>
      </c>
    </row>
    <row r="9" spans="1:8" x14ac:dyDescent="0.25">
      <c r="A9" s="4" t="s">
        <v>22</v>
      </c>
      <c r="B9" s="10">
        <v>2</v>
      </c>
      <c r="C9" s="10">
        <v>190</v>
      </c>
      <c r="D9" s="10">
        <v>38</v>
      </c>
      <c r="E9" s="10">
        <v>139</v>
      </c>
      <c r="F9" s="10">
        <v>0</v>
      </c>
      <c r="G9" s="10">
        <v>177</v>
      </c>
      <c r="H9" s="10">
        <v>13</v>
      </c>
    </row>
    <row r="10" spans="1:8" x14ac:dyDescent="0.25">
      <c r="A10" s="4" t="s">
        <v>23</v>
      </c>
      <c r="B10" s="10">
        <v>1</v>
      </c>
      <c r="C10" s="10">
        <v>306</v>
      </c>
      <c r="D10" s="10">
        <v>119</v>
      </c>
      <c r="E10" s="10">
        <v>127</v>
      </c>
      <c r="F10" s="10">
        <v>0</v>
      </c>
      <c r="G10" s="10">
        <v>246</v>
      </c>
      <c r="H10" s="10">
        <v>60</v>
      </c>
    </row>
    <row r="11" spans="1:8" x14ac:dyDescent="0.25">
      <c r="A11" s="4" t="s">
        <v>24</v>
      </c>
      <c r="B11" s="10">
        <v>1</v>
      </c>
      <c r="C11" s="10">
        <v>70</v>
      </c>
      <c r="D11" s="10">
        <v>46</v>
      </c>
      <c r="E11" s="10">
        <v>17</v>
      </c>
      <c r="F11" s="10">
        <v>4</v>
      </c>
      <c r="G11" s="10">
        <v>67</v>
      </c>
      <c r="H11" s="10">
        <v>3</v>
      </c>
    </row>
    <row r="12" spans="1:8" x14ac:dyDescent="0.25">
      <c r="A12" s="4" t="s">
        <v>25</v>
      </c>
      <c r="B12" s="10">
        <v>27</v>
      </c>
      <c r="C12" s="10">
        <v>2543</v>
      </c>
      <c r="D12" s="10">
        <v>591</v>
      </c>
      <c r="E12" s="10">
        <v>959</v>
      </c>
      <c r="F12" s="10">
        <v>32</v>
      </c>
      <c r="G12" s="10">
        <v>1582</v>
      </c>
      <c r="H12" s="10">
        <v>961</v>
      </c>
    </row>
    <row r="13" spans="1:8" x14ac:dyDescent="0.25">
      <c r="A13" s="4" t="s">
        <v>26</v>
      </c>
      <c r="B13" s="10">
        <v>9</v>
      </c>
      <c r="C13" s="10">
        <v>705</v>
      </c>
      <c r="D13" s="10">
        <v>194</v>
      </c>
      <c r="E13" s="10">
        <v>235</v>
      </c>
      <c r="F13" s="10">
        <v>0</v>
      </c>
      <c r="G13" s="10">
        <v>429</v>
      </c>
      <c r="H13" s="10">
        <v>276</v>
      </c>
    </row>
    <row r="14" spans="1:8" x14ac:dyDescent="0.25">
      <c r="A14" s="4" t="s">
        <v>27</v>
      </c>
      <c r="B14" s="10">
        <v>1</v>
      </c>
      <c r="C14" s="10">
        <v>14</v>
      </c>
      <c r="D14" s="10">
        <v>4</v>
      </c>
      <c r="E14" s="10">
        <v>0</v>
      </c>
      <c r="F14" s="10">
        <v>0</v>
      </c>
      <c r="G14" s="10">
        <v>4</v>
      </c>
      <c r="H14" s="10">
        <v>10</v>
      </c>
    </row>
    <row r="15" spans="1:8" x14ac:dyDescent="0.25">
      <c r="A15" s="4" t="s">
        <v>28</v>
      </c>
      <c r="B15" s="10">
        <v>2</v>
      </c>
      <c r="C15" s="10">
        <v>532</v>
      </c>
      <c r="D15" s="10">
        <v>127</v>
      </c>
      <c r="E15" s="10">
        <v>113</v>
      </c>
      <c r="F15" s="10">
        <v>0</v>
      </c>
      <c r="G15" s="10">
        <v>240</v>
      </c>
      <c r="H15" s="10">
        <v>292</v>
      </c>
    </row>
    <row r="16" spans="1:8" x14ac:dyDescent="0.25">
      <c r="A16" s="4" t="s">
        <v>29</v>
      </c>
      <c r="B16" s="10">
        <v>3</v>
      </c>
      <c r="C16" s="10">
        <v>196</v>
      </c>
      <c r="D16" s="10">
        <v>86</v>
      </c>
      <c r="E16" s="10">
        <v>68</v>
      </c>
      <c r="F16" s="10">
        <v>23</v>
      </c>
      <c r="G16" s="10">
        <v>177</v>
      </c>
      <c r="H16" s="10">
        <v>19</v>
      </c>
    </row>
    <row r="17" spans="1:8" x14ac:dyDescent="0.25">
      <c r="A17" s="4" t="s">
        <v>30</v>
      </c>
      <c r="B17" s="10">
        <v>2</v>
      </c>
      <c r="C17" s="10">
        <v>215</v>
      </c>
      <c r="D17" s="10">
        <v>74</v>
      </c>
      <c r="E17" s="10">
        <v>72</v>
      </c>
      <c r="F17" s="10">
        <v>0</v>
      </c>
      <c r="G17" s="10">
        <v>146</v>
      </c>
      <c r="H17" s="10">
        <v>69</v>
      </c>
    </row>
    <row r="18" spans="1:8" x14ac:dyDescent="0.25">
      <c r="A18" s="4" t="s">
        <v>31</v>
      </c>
      <c r="B18" s="10">
        <v>20</v>
      </c>
      <c r="C18" s="10">
        <v>804</v>
      </c>
      <c r="D18" s="10">
        <v>341</v>
      </c>
      <c r="E18" s="10">
        <v>207</v>
      </c>
      <c r="F18" s="10">
        <v>26</v>
      </c>
      <c r="G18" s="10">
        <v>574</v>
      </c>
      <c r="H18" s="10">
        <v>230</v>
      </c>
    </row>
    <row r="19" spans="1:8" x14ac:dyDescent="0.25">
      <c r="A19" s="4" t="s">
        <v>32</v>
      </c>
      <c r="B19" s="10">
        <v>2</v>
      </c>
      <c r="C19" s="10">
        <v>539</v>
      </c>
      <c r="D19" s="10">
        <v>214</v>
      </c>
      <c r="E19" s="10">
        <v>252</v>
      </c>
      <c r="F19" s="10">
        <v>25</v>
      </c>
      <c r="G19" s="10">
        <v>491</v>
      </c>
      <c r="H19" s="10">
        <v>48</v>
      </c>
    </row>
    <row r="20" spans="1:8" x14ac:dyDescent="0.25">
      <c r="A20" s="4" t="s">
        <v>149</v>
      </c>
      <c r="B20" s="10">
        <v>5</v>
      </c>
      <c r="C20" s="10">
        <v>195</v>
      </c>
      <c r="D20" s="10">
        <v>141</v>
      </c>
      <c r="E20" s="10">
        <v>26</v>
      </c>
      <c r="F20" s="10">
        <v>0</v>
      </c>
      <c r="G20" s="10">
        <v>167</v>
      </c>
      <c r="H20" s="10">
        <v>28</v>
      </c>
    </row>
    <row r="21" spans="1:8" x14ac:dyDescent="0.25">
      <c r="A21" s="4" t="s">
        <v>34</v>
      </c>
      <c r="B21" s="10">
        <v>3</v>
      </c>
      <c r="C21" s="10">
        <v>369</v>
      </c>
      <c r="D21" s="10">
        <v>118</v>
      </c>
      <c r="E21" s="10">
        <v>190</v>
      </c>
      <c r="F21" s="10">
        <v>0</v>
      </c>
      <c r="G21" s="10">
        <v>308</v>
      </c>
      <c r="H21" s="10">
        <v>61</v>
      </c>
    </row>
    <row r="22" spans="1:8" x14ac:dyDescent="0.25">
      <c r="A22" s="4" t="s">
        <v>35</v>
      </c>
      <c r="B22" s="10">
        <v>7</v>
      </c>
      <c r="C22" s="10">
        <v>406</v>
      </c>
      <c r="D22" s="10">
        <v>110</v>
      </c>
      <c r="E22" s="10">
        <v>227</v>
      </c>
      <c r="F22" s="10">
        <v>25</v>
      </c>
      <c r="G22" s="10">
        <v>362</v>
      </c>
      <c r="H22" s="10">
        <v>44</v>
      </c>
    </row>
    <row r="23" spans="1:8" x14ac:dyDescent="0.25">
      <c r="A23" s="4" t="s">
        <v>36</v>
      </c>
      <c r="B23" s="10">
        <v>15</v>
      </c>
      <c r="C23" s="10">
        <v>985</v>
      </c>
      <c r="D23" s="10">
        <v>226</v>
      </c>
      <c r="E23" s="10">
        <v>668</v>
      </c>
      <c r="F23" s="10">
        <v>40</v>
      </c>
      <c r="G23" s="10">
        <v>934</v>
      </c>
      <c r="H23" s="10">
        <v>51</v>
      </c>
    </row>
    <row r="24" spans="1:8" x14ac:dyDescent="0.25">
      <c r="A24" s="4" t="s">
        <v>37</v>
      </c>
      <c r="B24" s="10">
        <v>16</v>
      </c>
      <c r="C24" s="10">
        <v>574</v>
      </c>
      <c r="D24" s="10">
        <v>170</v>
      </c>
      <c r="E24" s="10">
        <v>286</v>
      </c>
      <c r="F24" s="10">
        <v>14</v>
      </c>
      <c r="G24" s="10">
        <v>470</v>
      </c>
      <c r="H24" s="10">
        <v>104</v>
      </c>
    </row>
    <row r="25" spans="1:8" x14ac:dyDescent="0.25">
      <c r="A25" s="4" t="s">
        <v>38</v>
      </c>
      <c r="B25" s="10">
        <v>1</v>
      </c>
      <c r="C25" s="10">
        <v>119</v>
      </c>
      <c r="D25" s="10">
        <v>50</v>
      </c>
      <c r="E25" s="10">
        <v>55</v>
      </c>
      <c r="F25" s="10">
        <v>1</v>
      </c>
      <c r="G25" s="10">
        <v>106</v>
      </c>
      <c r="H25" s="10">
        <v>13</v>
      </c>
    </row>
    <row r="26" spans="1:8" x14ac:dyDescent="0.25">
      <c r="A26" s="4" t="s">
        <v>39</v>
      </c>
      <c r="B26" s="10">
        <v>21</v>
      </c>
      <c r="C26" s="10">
        <v>693</v>
      </c>
      <c r="D26" s="10">
        <v>251</v>
      </c>
      <c r="E26" s="10">
        <v>343</v>
      </c>
      <c r="F26" s="10">
        <v>52</v>
      </c>
      <c r="G26" s="10">
        <v>646</v>
      </c>
      <c r="H26" s="10">
        <v>47</v>
      </c>
    </row>
    <row r="27" spans="1:8" x14ac:dyDescent="0.25">
      <c r="A27" s="4" t="s">
        <v>40</v>
      </c>
      <c r="B27" s="10">
        <v>10</v>
      </c>
      <c r="C27" s="10">
        <v>301</v>
      </c>
      <c r="D27" s="10">
        <v>139</v>
      </c>
      <c r="E27" s="10">
        <v>109</v>
      </c>
      <c r="F27" s="10">
        <v>2</v>
      </c>
      <c r="G27" s="10">
        <v>250</v>
      </c>
      <c r="H27" s="10">
        <v>51</v>
      </c>
    </row>
    <row r="28" spans="1:8" x14ac:dyDescent="0.25">
      <c r="A28" s="4" t="s">
        <v>41</v>
      </c>
      <c r="B28" s="10">
        <v>8</v>
      </c>
      <c r="C28" s="10">
        <v>507</v>
      </c>
      <c r="D28" s="10">
        <v>197</v>
      </c>
      <c r="E28" s="10">
        <v>199</v>
      </c>
      <c r="F28" s="10">
        <v>19</v>
      </c>
      <c r="G28" s="10">
        <v>415</v>
      </c>
      <c r="H28" s="10">
        <v>92</v>
      </c>
    </row>
    <row r="29" spans="1:8" x14ac:dyDescent="0.25">
      <c r="A29" s="4" t="s">
        <v>42</v>
      </c>
      <c r="B29" s="10">
        <v>1</v>
      </c>
      <c r="C29" s="10">
        <v>0</v>
      </c>
      <c r="D29" s="10">
        <v>0</v>
      </c>
      <c r="E29" s="10">
        <v>0</v>
      </c>
      <c r="F29" s="10">
        <v>0</v>
      </c>
      <c r="G29" s="10">
        <v>0</v>
      </c>
      <c r="H29" s="10">
        <v>0</v>
      </c>
    </row>
    <row r="30" spans="1:8" x14ac:dyDescent="0.25">
      <c r="A30" s="4" t="s">
        <v>43</v>
      </c>
      <c r="B30" s="10">
        <v>3</v>
      </c>
      <c r="C30" s="10">
        <v>102</v>
      </c>
      <c r="D30" s="10">
        <v>10</v>
      </c>
      <c r="E30" s="10">
        <v>27</v>
      </c>
      <c r="F30" s="10">
        <v>0</v>
      </c>
      <c r="G30" s="10">
        <v>37</v>
      </c>
      <c r="H30" s="10">
        <v>65</v>
      </c>
    </row>
    <row r="31" spans="1:8" x14ac:dyDescent="0.25">
      <c r="A31" s="4" t="s">
        <v>44</v>
      </c>
      <c r="B31" s="10">
        <v>1</v>
      </c>
      <c r="C31" s="10">
        <v>198</v>
      </c>
      <c r="D31" s="10">
        <v>58</v>
      </c>
      <c r="E31" s="10">
        <v>67</v>
      </c>
      <c r="F31" s="10">
        <v>0</v>
      </c>
      <c r="G31" s="10">
        <v>125</v>
      </c>
      <c r="H31" s="10">
        <v>73</v>
      </c>
    </row>
    <row r="32" spans="1:8" x14ac:dyDescent="0.25">
      <c r="A32" s="4" t="s">
        <v>45</v>
      </c>
      <c r="B32" s="10">
        <v>12</v>
      </c>
      <c r="C32" s="10">
        <v>884</v>
      </c>
      <c r="D32" s="10">
        <v>370</v>
      </c>
      <c r="E32" s="10">
        <v>365</v>
      </c>
      <c r="F32" s="10">
        <v>0</v>
      </c>
      <c r="G32" s="10">
        <v>735</v>
      </c>
      <c r="H32" s="10">
        <v>149</v>
      </c>
    </row>
    <row r="33" spans="1:8" x14ac:dyDescent="0.25">
      <c r="A33" s="4" t="s">
        <v>46</v>
      </c>
      <c r="B33" s="10">
        <v>1</v>
      </c>
      <c r="C33" s="10">
        <v>9</v>
      </c>
      <c r="D33" s="10">
        <v>9</v>
      </c>
      <c r="E33" s="10">
        <v>0</v>
      </c>
      <c r="F33" s="10">
        <v>0</v>
      </c>
      <c r="G33" s="10">
        <v>9</v>
      </c>
      <c r="H33" s="10">
        <v>0</v>
      </c>
    </row>
    <row r="34" spans="1:8" x14ac:dyDescent="0.25">
      <c r="A34" s="4" t="s">
        <v>47</v>
      </c>
      <c r="B34" s="10">
        <v>3</v>
      </c>
      <c r="C34" s="10">
        <v>171</v>
      </c>
      <c r="D34" s="10">
        <v>97</v>
      </c>
      <c r="E34" s="10">
        <v>71</v>
      </c>
      <c r="F34" s="10">
        <v>0</v>
      </c>
      <c r="G34" s="10">
        <v>168</v>
      </c>
      <c r="H34" s="10">
        <v>3</v>
      </c>
    </row>
    <row r="35" spans="1:8" x14ac:dyDescent="0.25">
      <c r="A35" s="4" t="s">
        <v>48</v>
      </c>
      <c r="B35" s="10">
        <v>3</v>
      </c>
      <c r="C35" s="10">
        <v>143</v>
      </c>
      <c r="D35" s="10">
        <v>43</v>
      </c>
      <c r="E35" s="10">
        <v>90</v>
      </c>
      <c r="F35" s="10">
        <v>3</v>
      </c>
      <c r="G35" s="10">
        <v>136</v>
      </c>
      <c r="H35" s="10">
        <v>7</v>
      </c>
    </row>
    <row r="36" spans="1:8" x14ac:dyDescent="0.25">
      <c r="A36" s="4" t="s">
        <v>49</v>
      </c>
      <c r="B36" s="10">
        <v>16</v>
      </c>
      <c r="C36" s="10">
        <v>555</v>
      </c>
      <c r="D36" s="10">
        <v>150</v>
      </c>
      <c r="E36" s="10">
        <v>318</v>
      </c>
      <c r="F36" s="10">
        <v>2</v>
      </c>
      <c r="G36" s="10">
        <v>470</v>
      </c>
      <c r="H36" s="10">
        <v>85</v>
      </c>
    </row>
    <row r="37" spans="1:8" x14ac:dyDescent="0.25">
      <c r="A37" s="4" t="s">
        <v>50</v>
      </c>
      <c r="B37" s="10">
        <v>2</v>
      </c>
      <c r="C37" s="10">
        <v>290</v>
      </c>
      <c r="D37" s="10">
        <v>112</v>
      </c>
      <c r="E37" s="10">
        <v>65</v>
      </c>
      <c r="F37" s="10">
        <v>0</v>
      </c>
      <c r="G37" s="10">
        <v>177</v>
      </c>
      <c r="H37" s="10">
        <v>113</v>
      </c>
    </row>
    <row r="38" spans="1:8" x14ac:dyDescent="0.25">
      <c r="A38" s="4" t="s">
        <v>51</v>
      </c>
      <c r="B38" s="10">
        <v>3</v>
      </c>
      <c r="C38" s="10">
        <v>723</v>
      </c>
      <c r="D38" s="10">
        <v>159</v>
      </c>
      <c r="E38" s="10">
        <v>364</v>
      </c>
      <c r="F38" s="10">
        <v>7</v>
      </c>
      <c r="G38" s="10">
        <v>530</v>
      </c>
      <c r="H38" s="10">
        <v>193</v>
      </c>
    </row>
    <row r="39" spans="1:8" x14ac:dyDescent="0.25">
      <c r="A39" s="4" t="s">
        <v>52</v>
      </c>
      <c r="B39" s="10">
        <v>26</v>
      </c>
      <c r="C39" s="10">
        <v>1224</v>
      </c>
      <c r="D39" s="10">
        <v>702</v>
      </c>
      <c r="E39" s="10">
        <v>408</v>
      </c>
      <c r="F39" s="10">
        <v>74</v>
      </c>
      <c r="G39" s="10">
        <v>1184</v>
      </c>
      <c r="H39" s="10">
        <v>40</v>
      </c>
    </row>
    <row r="40" spans="1:8" x14ac:dyDescent="0.25">
      <c r="A40" s="4" t="s">
        <v>53</v>
      </c>
      <c r="B40" s="10">
        <v>9</v>
      </c>
      <c r="C40" s="10">
        <v>749</v>
      </c>
      <c r="D40" s="10">
        <v>286</v>
      </c>
      <c r="E40" s="10">
        <v>366</v>
      </c>
      <c r="F40" s="10">
        <v>42</v>
      </c>
      <c r="G40" s="10">
        <v>694</v>
      </c>
      <c r="H40" s="10">
        <v>55</v>
      </c>
    </row>
    <row r="41" spans="1:8" x14ac:dyDescent="0.25">
      <c r="A41" s="4" t="s">
        <v>54</v>
      </c>
      <c r="B41" s="10">
        <v>8</v>
      </c>
      <c r="C41" s="10">
        <v>313</v>
      </c>
      <c r="D41" s="10">
        <v>125</v>
      </c>
      <c r="E41" s="10">
        <v>79</v>
      </c>
      <c r="F41" s="10">
        <v>2</v>
      </c>
      <c r="G41" s="10">
        <v>206</v>
      </c>
      <c r="H41" s="10">
        <v>107</v>
      </c>
    </row>
    <row r="42" spans="1:8" x14ac:dyDescent="0.25">
      <c r="A42" s="4" t="s">
        <v>55</v>
      </c>
      <c r="B42" s="10">
        <v>7</v>
      </c>
      <c r="C42" s="10">
        <v>1363</v>
      </c>
      <c r="D42" s="10">
        <v>299</v>
      </c>
      <c r="E42" s="10">
        <v>301</v>
      </c>
      <c r="F42" s="10">
        <v>0</v>
      </c>
      <c r="G42" s="10">
        <v>600</v>
      </c>
      <c r="H42" s="10">
        <v>763</v>
      </c>
    </row>
    <row r="43" spans="1:8" x14ac:dyDescent="0.25">
      <c r="A43" s="4" t="s">
        <v>56</v>
      </c>
      <c r="B43" s="10">
        <v>16</v>
      </c>
      <c r="C43" s="10">
        <v>982</v>
      </c>
      <c r="D43" s="10">
        <v>293</v>
      </c>
      <c r="E43" s="10">
        <v>567</v>
      </c>
      <c r="F43" s="10">
        <v>50</v>
      </c>
      <c r="G43" s="10">
        <v>910</v>
      </c>
      <c r="H43" s="10">
        <v>72</v>
      </c>
    </row>
    <row r="44" spans="1:8" x14ac:dyDescent="0.25">
      <c r="A44" s="4" t="s">
        <v>57</v>
      </c>
      <c r="B44" s="10">
        <v>2</v>
      </c>
      <c r="C44" s="10">
        <v>82</v>
      </c>
      <c r="D44" s="10">
        <v>3</v>
      </c>
      <c r="E44" s="10">
        <v>15</v>
      </c>
      <c r="F44" s="10">
        <v>0</v>
      </c>
      <c r="G44" s="10">
        <v>18</v>
      </c>
      <c r="H44" s="10">
        <v>64</v>
      </c>
    </row>
    <row r="45" spans="1:8" x14ac:dyDescent="0.25">
      <c r="A45" s="4" t="s">
        <v>58</v>
      </c>
      <c r="B45" s="10">
        <v>1</v>
      </c>
      <c r="C45" s="10">
        <v>103</v>
      </c>
      <c r="D45" s="10">
        <v>37</v>
      </c>
      <c r="E45" s="10">
        <v>63</v>
      </c>
      <c r="F45" s="10">
        <v>0</v>
      </c>
      <c r="G45" s="10">
        <v>100</v>
      </c>
      <c r="H45" s="10">
        <v>3</v>
      </c>
    </row>
    <row r="46" spans="1:8" x14ac:dyDescent="0.25">
      <c r="A46" s="4" t="s">
        <v>59</v>
      </c>
      <c r="B46" s="10">
        <v>4</v>
      </c>
      <c r="C46" s="10">
        <v>415</v>
      </c>
      <c r="D46" s="10">
        <v>137</v>
      </c>
      <c r="E46" s="10">
        <v>179</v>
      </c>
      <c r="F46" s="10">
        <v>4</v>
      </c>
      <c r="G46" s="10">
        <v>320</v>
      </c>
      <c r="H46" s="10">
        <v>95</v>
      </c>
    </row>
    <row r="47" spans="1:8" x14ac:dyDescent="0.25">
      <c r="A47" s="4" t="s">
        <v>60</v>
      </c>
      <c r="B47" s="10">
        <v>1</v>
      </c>
      <c r="C47" s="10">
        <v>110</v>
      </c>
      <c r="D47" s="10">
        <v>30</v>
      </c>
      <c r="E47" s="10">
        <v>59</v>
      </c>
      <c r="F47" s="10">
        <v>0</v>
      </c>
      <c r="G47" s="10">
        <v>89</v>
      </c>
      <c r="H47" s="10">
        <v>21</v>
      </c>
    </row>
    <row r="48" spans="1:8" x14ac:dyDescent="0.25">
      <c r="A48" s="4" t="s">
        <v>61</v>
      </c>
      <c r="B48" s="10">
        <v>10</v>
      </c>
      <c r="C48" s="10">
        <v>742</v>
      </c>
      <c r="D48" s="10">
        <v>223</v>
      </c>
      <c r="E48" s="10">
        <v>327</v>
      </c>
      <c r="F48" s="10">
        <v>6</v>
      </c>
      <c r="G48" s="10">
        <v>556</v>
      </c>
      <c r="H48" s="10">
        <v>186</v>
      </c>
    </row>
    <row r="49" spans="1:8" x14ac:dyDescent="0.25">
      <c r="A49" s="4" t="s">
        <v>62</v>
      </c>
      <c r="B49" s="10">
        <v>11</v>
      </c>
      <c r="C49" s="10">
        <v>1935</v>
      </c>
      <c r="D49" s="10">
        <v>688</v>
      </c>
      <c r="E49" s="10">
        <v>438</v>
      </c>
      <c r="F49" s="10">
        <v>16</v>
      </c>
      <c r="G49" s="10">
        <v>1142</v>
      </c>
      <c r="H49" s="10">
        <v>793</v>
      </c>
    </row>
    <row r="50" spans="1:8" x14ac:dyDescent="0.25">
      <c r="A50" s="4" t="s">
        <v>63</v>
      </c>
      <c r="B50" s="10">
        <v>3</v>
      </c>
      <c r="C50" s="10">
        <v>239</v>
      </c>
      <c r="D50" s="10">
        <v>72</v>
      </c>
      <c r="E50" s="10">
        <v>150</v>
      </c>
      <c r="F50" s="10">
        <v>0</v>
      </c>
      <c r="G50" s="10">
        <v>222</v>
      </c>
      <c r="H50" s="10">
        <v>17</v>
      </c>
    </row>
    <row r="51" spans="1:8" x14ac:dyDescent="0.25">
      <c r="A51" s="4" t="s">
        <v>64</v>
      </c>
      <c r="B51" s="10">
        <v>16</v>
      </c>
      <c r="C51" s="10">
        <v>485</v>
      </c>
      <c r="D51" s="10">
        <v>299</v>
      </c>
      <c r="E51" s="10">
        <v>101</v>
      </c>
      <c r="F51" s="10">
        <v>0</v>
      </c>
      <c r="G51" s="10">
        <v>400</v>
      </c>
      <c r="H51" s="10">
        <v>85</v>
      </c>
    </row>
    <row r="52" spans="1:8" x14ac:dyDescent="0.25">
      <c r="A52" s="4" t="s">
        <v>65</v>
      </c>
      <c r="B52" s="10">
        <v>1</v>
      </c>
      <c r="C52" s="10">
        <v>24</v>
      </c>
      <c r="D52" s="10">
        <v>4</v>
      </c>
      <c r="E52" s="10">
        <v>3</v>
      </c>
      <c r="F52" s="10">
        <v>0</v>
      </c>
      <c r="G52" s="10">
        <v>7</v>
      </c>
      <c r="H52" s="10">
        <v>17</v>
      </c>
    </row>
    <row r="53" spans="1:8" x14ac:dyDescent="0.25">
      <c r="A53" s="4" t="s">
        <v>66</v>
      </c>
      <c r="B53" s="10">
        <v>2</v>
      </c>
      <c r="C53" s="10">
        <v>104</v>
      </c>
      <c r="D53" s="10">
        <v>34</v>
      </c>
      <c r="E53" s="10">
        <v>62</v>
      </c>
      <c r="F53" s="10">
        <v>0</v>
      </c>
      <c r="G53" s="10">
        <v>96</v>
      </c>
      <c r="H53" s="10">
        <v>8</v>
      </c>
    </row>
    <row r="54" spans="1:8" x14ac:dyDescent="0.25">
      <c r="A54" s="4" t="s">
        <v>67</v>
      </c>
      <c r="B54" s="10">
        <v>6</v>
      </c>
      <c r="C54" s="10">
        <v>1636</v>
      </c>
      <c r="D54" s="10">
        <v>479</v>
      </c>
      <c r="E54" s="10">
        <v>290</v>
      </c>
      <c r="F54" s="10">
        <v>1</v>
      </c>
      <c r="G54" s="10">
        <v>770</v>
      </c>
      <c r="H54" s="10">
        <v>866</v>
      </c>
    </row>
    <row r="55" spans="1:8" x14ac:dyDescent="0.25">
      <c r="A55" s="4" t="s">
        <v>68</v>
      </c>
      <c r="B55" s="10">
        <v>4</v>
      </c>
      <c r="C55" s="10">
        <v>332</v>
      </c>
      <c r="D55" s="10">
        <v>120</v>
      </c>
      <c r="E55" s="10">
        <v>200</v>
      </c>
      <c r="F55" s="10">
        <v>1</v>
      </c>
      <c r="G55" s="10">
        <v>321</v>
      </c>
      <c r="H55" s="10">
        <v>11</v>
      </c>
    </row>
    <row r="56" spans="1:8" x14ac:dyDescent="0.25">
      <c r="A56" s="4" t="s">
        <v>69</v>
      </c>
      <c r="B56" s="10">
        <v>4</v>
      </c>
      <c r="C56" s="10">
        <v>131</v>
      </c>
      <c r="D56" s="10">
        <v>69</v>
      </c>
      <c r="E56" s="10">
        <v>37</v>
      </c>
      <c r="F56" s="10">
        <v>0</v>
      </c>
      <c r="G56" s="10">
        <v>106</v>
      </c>
      <c r="H56" s="10">
        <v>25</v>
      </c>
    </row>
    <row r="57" spans="1:8" x14ac:dyDescent="0.25">
      <c r="A57" s="4" t="s">
        <v>70</v>
      </c>
      <c r="B57" s="10">
        <v>1</v>
      </c>
      <c r="C57" s="10">
        <v>47</v>
      </c>
      <c r="D57" s="10">
        <v>36</v>
      </c>
      <c r="E57" s="10">
        <v>11</v>
      </c>
      <c r="F57" s="10">
        <v>0</v>
      </c>
      <c r="G57" s="10">
        <v>47</v>
      </c>
      <c r="H57" s="10">
        <v>0</v>
      </c>
    </row>
    <row r="58" spans="1:8" x14ac:dyDescent="0.25">
      <c r="A58" s="6" t="s">
        <v>71</v>
      </c>
      <c r="B58" s="11">
        <v>398</v>
      </c>
      <c r="C58" s="11">
        <v>37878</v>
      </c>
      <c r="D58" s="11">
        <v>10689</v>
      </c>
      <c r="E58" s="11">
        <v>11986</v>
      </c>
      <c r="F58" s="11">
        <v>637</v>
      </c>
      <c r="G58" s="11">
        <v>23312</v>
      </c>
      <c r="H58" s="11">
        <v>14566</v>
      </c>
    </row>
    <row r="59" spans="1:8" ht="14.1" customHeight="1" x14ac:dyDescent="0.25">
      <c r="A59" s="8"/>
    </row>
    <row r="60" spans="1:8" x14ac:dyDescent="0.25">
      <c r="A60" s="12" t="s">
        <v>151</v>
      </c>
    </row>
  </sheetData>
  <pageMargins left="0.08" right="0.08" top="1" bottom="1" header="0.5" footer="0.5"/>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EDFE-7C23-4503-A579-9C29CC43014F}">
  <dimension ref="A1:H60"/>
  <sheetViews>
    <sheetView workbookViewId="0">
      <selection activeCell="A20" sqref="A20"/>
    </sheetView>
  </sheetViews>
  <sheetFormatPr defaultRowHeight="15" x14ac:dyDescent="0.25"/>
  <cols>
    <col min="1" max="1" width="11.42578125" style="1" bestFit="1" customWidth="1"/>
    <col min="2" max="8" width="17.140625" style="1" bestFit="1" customWidth="1"/>
    <col min="9" max="16384" width="9.140625" style="1"/>
  </cols>
  <sheetData>
    <row r="1" spans="1:8" ht="39" x14ac:dyDescent="0.25">
      <c r="A1" s="2" t="s">
        <v>72</v>
      </c>
      <c r="B1" s="9" t="s">
        <v>73</v>
      </c>
      <c r="C1" s="9" t="s">
        <v>116</v>
      </c>
      <c r="D1" s="9" t="s">
        <v>117</v>
      </c>
      <c r="E1" s="9" t="s">
        <v>118</v>
      </c>
      <c r="F1" s="9" t="s">
        <v>119</v>
      </c>
      <c r="G1" s="9" t="s">
        <v>120</v>
      </c>
      <c r="H1" s="9" t="s">
        <v>121</v>
      </c>
    </row>
    <row r="2" spans="1:8" x14ac:dyDescent="0.25">
      <c r="A2" s="4" t="s">
        <v>14</v>
      </c>
      <c r="B2" s="10">
        <v>2</v>
      </c>
      <c r="C2" s="10">
        <v>124</v>
      </c>
      <c r="D2" s="10">
        <v>70</v>
      </c>
      <c r="E2" s="10">
        <v>25</v>
      </c>
      <c r="F2" s="10">
        <v>0</v>
      </c>
      <c r="G2" s="10">
        <v>95</v>
      </c>
      <c r="H2" s="10">
        <v>29</v>
      </c>
    </row>
    <row r="3" spans="1:8" x14ac:dyDescent="0.25">
      <c r="A3" s="4" t="s">
        <v>15</v>
      </c>
      <c r="B3" s="10">
        <v>8</v>
      </c>
      <c r="C3" s="10">
        <v>269</v>
      </c>
      <c r="D3" s="10">
        <v>133</v>
      </c>
      <c r="E3" s="10">
        <v>67</v>
      </c>
      <c r="F3" s="10">
        <v>2</v>
      </c>
      <c r="G3" s="10">
        <v>202</v>
      </c>
      <c r="H3" s="10">
        <v>67</v>
      </c>
    </row>
    <row r="4" spans="1:8" x14ac:dyDescent="0.25">
      <c r="A4" s="4" t="s">
        <v>16</v>
      </c>
      <c r="B4" s="10">
        <v>6</v>
      </c>
      <c r="C4" s="10">
        <v>239</v>
      </c>
      <c r="D4" s="10">
        <v>85</v>
      </c>
      <c r="E4" s="10">
        <v>45</v>
      </c>
      <c r="F4" s="10">
        <v>0</v>
      </c>
      <c r="G4" s="10">
        <v>130</v>
      </c>
      <c r="H4" s="10">
        <v>109</v>
      </c>
    </row>
    <row r="5" spans="1:8" x14ac:dyDescent="0.25">
      <c r="A5" s="4" t="s">
        <v>17</v>
      </c>
      <c r="B5" s="10">
        <v>0</v>
      </c>
      <c r="C5" s="10" t="s">
        <v>18</v>
      </c>
      <c r="D5" s="10" t="s">
        <v>18</v>
      </c>
      <c r="E5" s="10" t="s">
        <v>18</v>
      </c>
      <c r="F5" s="10" t="s">
        <v>18</v>
      </c>
      <c r="G5" s="10" t="s">
        <v>18</v>
      </c>
      <c r="H5" s="10" t="s">
        <v>18</v>
      </c>
    </row>
    <row r="6" spans="1:8" x14ac:dyDescent="0.25">
      <c r="A6" s="4" t="s">
        <v>19</v>
      </c>
      <c r="B6" s="10">
        <v>3</v>
      </c>
      <c r="C6" s="10">
        <v>970</v>
      </c>
      <c r="D6" s="10">
        <v>268</v>
      </c>
      <c r="E6" s="10">
        <v>372</v>
      </c>
      <c r="F6" s="10">
        <v>1</v>
      </c>
      <c r="G6" s="10">
        <v>641</v>
      </c>
      <c r="H6" s="10">
        <v>329</v>
      </c>
    </row>
    <row r="7" spans="1:8" x14ac:dyDescent="0.25">
      <c r="A7" s="4" t="s">
        <v>20</v>
      </c>
      <c r="B7" s="10">
        <v>43</v>
      </c>
      <c r="C7" s="10">
        <v>11436</v>
      </c>
      <c r="D7" s="10">
        <v>1568</v>
      </c>
      <c r="E7" s="10">
        <v>2210</v>
      </c>
      <c r="F7" s="10">
        <v>37</v>
      </c>
      <c r="G7" s="10">
        <v>3815</v>
      </c>
      <c r="H7" s="10">
        <v>7621</v>
      </c>
    </row>
    <row r="8" spans="1:8" x14ac:dyDescent="0.25">
      <c r="A8" s="4" t="s">
        <v>21</v>
      </c>
      <c r="B8" s="10">
        <v>3</v>
      </c>
      <c r="C8" s="10">
        <v>1078</v>
      </c>
      <c r="D8" s="10">
        <v>370</v>
      </c>
      <c r="E8" s="10">
        <v>371</v>
      </c>
      <c r="F8" s="10">
        <v>2</v>
      </c>
      <c r="G8" s="10">
        <v>743</v>
      </c>
      <c r="H8" s="10">
        <v>335</v>
      </c>
    </row>
    <row r="9" spans="1:8" x14ac:dyDescent="0.25">
      <c r="A9" s="4" t="s">
        <v>22</v>
      </c>
      <c r="B9" s="10">
        <v>2</v>
      </c>
      <c r="C9" s="10">
        <v>191</v>
      </c>
      <c r="D9" s="10">
        <v>34</v>
      </c>
      <c r="E9" s="10">
        <v>143</v>
      </c>
      <c r="F9" s="10">
        <v>0</v>
      </c>
      <c r="G9" s="10">
        <v>177</v>
      </c>
      <c r="H9" s="10">
        <v>14</v>
      </c>
    </row>
    <row r="10" spans="1:8" x14ac:dyDescent="0.25">
      <c r="A10" s="4" t="s">
        <v>23</v>
      </c>
      <c r="B10" s="10">
        <v>1</v>
      </c>
      <c r="C10" s="10">
        <v>285</v>
      </c>
      <c r="D10" s="10">
        <v>81</v>
      </c>
      <c r="E10" s="10">
        <v>169</v>
      </c>
      <c r="F10" s="10">
        <v>0</v>
      </c>
      <c r="G10" s="10">
        <v>250</v>
      </c>
      <c r="H10" s="10">
        <v>35</v>
      </c>
    </row>
    <row r="11" spans="1:8" x14ac:dyDescent="0.25">
      <c r="A11" s="4" t="s">
        <v>24</v>
      </c>
      <c r="B11" s="10">
        <v>1</v>
      </c>
      <c r="C11" s="10">
        <v>91</v>
      </c>
      <c r="D11" s="10">
        <v>36</v>
      </c>
      <c r="E11" s="10">
        <v>49</v>
      </c>
      <c r="F11" s="10">
        <v>0</v>
      </c>
      <c r="G11" s="10">
        <v>85</v>
      </c>
      <c r="H11" s="10">
        <v>6</v>
      </c>
    </row>
    <row r="12" spans="1:8" x14ac:dyDescent="0.25">
      <c r="A12" s="4" t="s">
        <v>25</v>
      </c>
      <c r="B12" s="10">
        <v>27</v>
      </c>
      <c r="C12" s="10">
        <v>2817</v>
      </c>
      <c r="D12" s="10">
        <v>720</v>
      </c>
      <c r="E12" s="10">
        <v>1066</v>
      </c>
      <c r="F12" s="10">
        <v>35</v>
      </c>
      <c r="G12" s="10">
        <v>1821</v>
      </c>
      <c r="H12" s="10">
        <v>996</v>
      </c>
    </row>
    <row r="13" spans="1:8" x14ac:dyDescent="0.25">
      <c r="A13" s="4" t="s">
        <v>26</v>
      </c>
      <c r="B13" s="10">
        <v>9</v>
      </c>
      <c r="C13" s="10">
        <v>712</v>
      </c>
      <c r="D13" s="10">
        <v>177</v>
      </c>
      <c r="E13" s="10">
        <v>289</v>
      </c>
      <c r="F13" s="10">
        <v>0</v>
      </c>
      <c r="G13" s="10">
        <v>466</v>
      </c>
      <c r="H13" s="10">
        <v>246</v>
      </c>
    </row>
    <row r="14" spans="1:8" x14ac:dyDescent="0.25">
      <c r="A14" s="4" t="s">
        <v>27</v>
      </c>
      <c r="B14" s="10">
        <v>1</v>
      </c>
      <c r="C14" s="10">
        <v>24</v>
      </c>
      <c r="D14" s="10">
        <v>4</v>
      </c>
      <c r="E14" s="10">
        <v>0</v>
      </c>
      <c r="F14" s="10">
        <v>0</v>
      </c>
      <c r="G14" s="10">
        <v>4</v>
      </c>
      <c r="H14" s="10">
        <v>20</v>
      </c>
    </row>
    <row r="15" spans="1:8" x14ac:dyDescent="0.25">
      <c r="A15" s="4" t="s">
        <v>28</v>
      </c>
      <c r="B15" s="10">
        <v>2</v>
      </c>
      <c r="C15" s="10">
        <v>615</v>
      </c>
      <c r="D15" s="10">
        <v>106</v>
      </c>
      <c r="E15" s="10">
        <v>128</v>
      </c>
      <c r="F15" s="10">
        <v>3</v>
      </c>
      <c r="G15" s="10">
        <v>237</v>
      </c>
      <c r="H15" s="10">
        <v>378</v>
      </c>
    </row>
    <row r="16" spans="1:8" x14ac:dyDescent="0.25">
      <c r="A16" s="4" t="s">
        <v>29</v>
      </c>
      <c r="B16" s="10">
        <v>3</v>
      </c>
      <c r="C16" s="10">
        <v>171</v>
      </c>
      <c r="D16" s="10">
        <v>77</v>
      </c>
      <c r="E16" s="10">
        <v>76</v>
      </c>
      <c r="F16" s="10">
        <v>0</v>
      </c>
      <c r="G16" s="10">
        <v>153</v>
      </c>
      <c r="H16" s="10">
        <v>18</v>
      </c>
    </row>
    <row r="17" spans="1:8" x14ac:dyDescent="0.25">
      <c r="A17" s="4" t="s">
        <v>30</v>
      </c>
      <c r="B17" s="10">
        <v>2</v>
      </c>
      <c r="C17" s="10">
        <v>228</v>
      </c>
      <c r="D17" s="10">
        <v>73</v>
      </c>
      <c r="E17" s="10">
        <v>86</v>
      </c>
      <c r="F17" s="10">
        <v>0</v>
      </c>
      <c r="G17" s="10">
        <v>159</v>
      </c>
      <c r="H17" s="10">
        <v>69</v>
      </c>
    </row>
    <row r="18" spans="1:8" x14ac:dyDescent="0.25">
      <c r="A18" s="4" t="s">
        <v>31</v>
      </c>
      <c r="B18" s="10">
        <v>20</v>
      </c>
      <c r="C18" s="10">
        <v>864</v>
      </c>
      <c r="D18" s="10">
        <v>202</v>
      </c>
      <c r="E18" s="10">
        <v>357</v>
      </c>
      <c r="F18" s="10">
        <v>16</v>
      </c>
      <c r="G18" s="10">
        <v>575</v>
      </c>
      <c r="H18" s="10">
        <v>289</v>
      </c>
    </row>
    <row r="19" spans="1:8" x14ac:dyDescent="0.25">
      <c r="A19" s="4" t="s">
        <v>32</v>
      </c>
      <c r="B19" s="10">
        <v>2</v>
      </c>
      <c r="C19" s="10">
        <v>615</v>
      </c>
      <c r="D19" s="10">
        <v>186</v>
      </c>
      <c r="E19" s="10">
        <v>358</v>
      </c>
      <c r="F19" s="10">
        <v>25</v>
      </c>
      <c r="G19" s="10">
        <v>569</v>
      </c>
      <c r="H19" s="10">
        <v>46</v>
      </c>
    </row>
    <row r="20" spans="1:8" x14ac:dyDescent="0.25">
      <c r="A20" s="4" t="s">
        <v>149</v>
      </c>
      <c r="B20" s="10">
        <v>5</v>
      </c>
      <c r="C20" s="10">
        <v>217</v>
      </c>
      <c r="D20" s="10">
        <v>106</v>
      </c>
      <c r="E20" s="10">
        <v>70</v>
      </c>
      <c r="F20" s="10">
        <v>1</v>
      </c>
      <c r="G20" s="10">
        <v>177</v>
      </c>
      <c r="H20" s="10">
        <v>40</v>
      </c>
    </row>
    <row r="21" spans="1:8" x14ac:dyDescent="0.25">
      <c r="A21" s="4" t="s">
        <v>34</v>
      </c>
      <c r="B21" s="10">
        <v>3</v>
      </c>
      <c r="C21" s="10">
        <v>489</v>
      </c>
      <c r="D21" s="10">
        <v>156</v>
      </c>
      <c r="E21" s="10">
        <v>289</v>
      </c>
      <c r="F21" s="10">
        <v>0</v>
      </c>
      <c r="G21" s="10">
        <v>445</v>
      </c>
      <c r="H21" s="10">
        <v>44</v>
      </c>
    </row>
    <row r="22" spans="1:8" x14ac:dyDescent="0.25">
      <c r="A22" s="4" t="s">
        <v>35</v>
      </c>
      <c r="B22" s="10">
        <v>8</v>
      </c>
      <c r="C22" s="10">
        <v>383</v>
      </c>
      <c r="D22" s="10">
        <v>70</v>
      </c>
      <c r="E22" s="10">
        <v>240</v>
      </c>
      <c r="F22" s="10">
        <v>19</v>
      </c>
      <c r="G22" s="10">
        <v>329</v>
      </c>
      <c r="H22" s="10">
        <v>54</v>
      </c>
    </row>
    <row r="23" spans="1:8" x14ac:dyDescent="0.25">
      <c r="A23" s="4" t="s">
        <v>36</v>
      </c>
      <c r="B23" s="10">
        <v>15</v>
      </c>
      <c r="C23" s="10">
        <v>853</v>
      </c>
      <c r="D23" s="10">
        <v>176</v>
      </c>
      <c r="E23" s="10">
        <v>613</v>
      </c>
      <c r="F23" s="10">
        <v>19</v>
      </c>
      <c r="G23" s="10">
        <v>808</v>
      </c>
      <c r="H23" s="10">
        <v>45</v>
      </c>
    </row>
    <row r="24" spans="1:8" x14ac:dyDescent="0.25">
      <c r="A24" s="4" t="s">
        <v>37</v>
      </c>
      <c r="B24" s="10">
        <v>16</v>
      </c>
      <c r="C24" s="10">
        <v>536</v>
      </c>
      <c r="D24" s="10">
        <v>185</v>
      </c>
      <c r="E24" s="10">
        <v>249</v>
      </c>
      <c r="F24" s="10">
        <v>6</v>
      </c>
      <c r="G24" s="10">
        <v>440</v>
      </c>
      <c r="H24" s="10">
        <v>96</v>
      </c>
    </row>
    <row r="25" spans="1:8" x14ac:dyDescent="0.25">
      <c r="A25" s="4" t="s">
        <v>38</v>
      </c>
      <c r="B25" s="10">
        <v>1</v>
      </c>
      <c r="C25" s="10">
        <v>131</v>
      </c>
      <c r="D25" s="10">
        <v>53</v>
      </c>
      <c r="E25" s="10">
        <v>66</v>
      </c>
      <c r="F25" s="10">
        <v>1</v>
      </c>
      <c r="G25" s="10">
        <v>120</v>
      </c>
      <c r="H25" s="10">
        <v>11</v>
      </c>
    </row>
    <row r="26" spans="1:8" x14ac:dyDescent="0.25">
      <c r="A26" s="4" t="s">
        <v>39</v>
      </c>
      <c r="B26" s="10">
        <v>21</v>
      </c>
      <c r="C26" s="10">
        <v>773</v>
      </c>
      <c r="D26" s="10">
        <v>247</v>
      </c>
      <c r="E26" s="10">
        <v>441</v>
      </c>
      <c r="F26" s="10">
        <v>25</v>
      </c>
      <c r="G26" s="10">
        <v>713</v>
      </c>
      <c r="H26" s="10">
        <v>60</v>
      </c>
    </row>
    <row r="27" spans="1:8" x14ac:dyDescent="0.25">
      <c r="A27" s="4" t="s">
        <v>40</v>
      </c>
      <c r="B27" s="10">
        <v>10</v>
      </c>
      <c r="C27" s="10">
        <v>281</v>
      </c>
      <c r="D27" s="10">
        <v>154</v>
      </c>
      <c r="E27" s="10">
        <v>90</v>
      </c>
      <c r="F27" s="10">
        <v>0</v>
      </c>
      <c r="G27" s="10">
        <v>244</v>
      </c>
      <c r="H27" s="10">
        <v>37</v>
      </c>
    </row>
    <row r="28" spans="1:8" x14ac:dyDescent="0.25">
      <c r="A28" s="4" t="s">
        <v>41</v>
      </c>
      <c r="B28" s="10">
        <v>8</v>
      </c>
      <c r="C28" s="10">
        <v>538</v>
      </c>
      <c r="D28" s="10">
        <v>192</v>
      </c>
      <c r="E28" s="10">
        <v>248</v>
      </c>
      <c r="F28" s="10">
        <v>9</v>
      </c>
      <c r="G28" s="10">
        <v>449</v>
      </c>
      <c r="H28" s="10">
        <v>89</v>
      </c>
    </row>
    <row r="29" spans="1:8" x14ac:dyDescent="0.25">
      <c r="A29" s="4" t="s">
        <v>42</v>
      </c>
      <c r="B29" s="10">
        <v>1</v>
      </c>
      <c r="C29" s="10">
        <v>0</v>
      </c>
      <c r="D29" s="10">
        <v>0</v>
      </c>
      <c r="E29" s="10">
        <v>0</v>
      </c>
      <c r="F29" s="10">
        <v>0</v>
      </c>
      <c r="G29" s="10">
        <v>0</v>
      </c>
      <c r="H29" s="10">
        <v>0</v>
      </c>
    </row>
    <row r="30" spans="1:8" x14ac:dyDescent="0.25">
      <c r="A30" s="4" t="s">
        <v>43</v>
      </c>
      <c r="B30" s="10">
        <v>3</v>
      </c>
      <c r="C30" s="10">
        <v>57</v>
      </c>
      <c r="D30" s="10">
        <v>11</v>
      </c>
      <c r="E30" s="10">
        <v>28</v>
      </c>
      <c r="F30" s="10">
        <v>0</v>
      </c>
      <c r="G30" s="10">
        <v>39</v>
      </c>
      <c r="H30" s="10">
        <v>18</v>
      </c>
    </row>
    <row r="31" spans="1:8" x14ac:dyDescent="0.25">
      <c r="A31" s="4" t="s">
        <v>44</v>
      </c>
      <c r="B31" s="10">
        <v>1</v>
      </c>
      <c r="C31" s="10">
        <v>205</v>
      </c>
      <c r="D31" s="10">
        <v>67</v>
      </c>
      <c r="E31" s="10">
        <v>58</v>
      </c>
      <c r="F31" s="10">
        <v>0</v>
      </c>
      <c r="G31" s="10">
        <v>125</v>
      </c>
      <c r="H31" s="10">
        <v>80</v>
      </c>
    </row>
    <row r="32" spans="1:8" x14ac:dyDescent="0.25">
      <c r="A32" s="4" t="s">
        <v>45</v>
      </c>
      <c r="B32" s="10">
        <v>12</v>
      </c>
      <c r="C32" s="10">
        <v>931</v>
      </c>
      <c r="D32" s="10">
        <v>330</v>
      </c>
      <c r="E32" s="10">
        <v>402</v>
      </c>
      <c r="F32" s="10">
        <v>0</v>
      </c>
      <c r="G32" s="10">
        <v>732</v>
      </c>
      <c r="H32" s="10">
        <v>199</v>
      </c>
    </row>
    <row r="33" spans="1:8" x14ac:dyDescent="0.25">
      <c r="A33" s="4" t="s">
        <v>46</v>
      </c>
      <c r="B33" s="10">
        <v>1</v>
      </c>
      <c r="C33" s="10">
        <v>74</v>
      </c>
      <c r="D33" s="10">
        <v>18</v>
      </c>
      <c r="E33" s="10">
        <v>40</v>
      </c>
      <c r="F33" s="10">
        <v>0</v>
      </c>
      <c r="G33" s="10">
        <v>58</v>
      </c>
      <c r="H33" s="10">
        <v>16</v>
      </c>
    </row>
    <row r="34" spans="1:8" x14ac:dyDescent="0.25">
      <c r="A34" s="4" t="s">
        <v>47</v>
      </c>
      <c r="B34" s="10">
        <v>3</v>
      </c>
      <c r="C34" s="10">
        <v>174</v>
      </c>
      <c r="D34" s="10">
        <v>90</v>
      </c>
      <c r="E34" s="10">
        <v>82</v>
      </c>
      <c r="F34" s="10">
        <v>0</v>
      </c>
      <c r="G34" s="10">
        <v>172</v>
      </c>
      <c r="H34" s="10">
        <v>2</v>
      </c>
    </row>
    <row r="35" spans="1:8" x14ac:dyDescent="0.25">
      <c r="A35" s="4" t="s">
        <v>48</v>
      </c>
      <c r="B35" s="10">
        <v>3</v>
      </c>
      <c r="C35" s="10">
        <v>124</v>
      </c>
      <c r="D35" s="10">
        <v>28</v>
      </c>
      <c r="E35" s="10">
        <v>84</v>
      </c>
      <c r="F35" s="10">
        <v>1</v>
      </c>
      <c r="G35" s="10">
        <v>113</v>
      </c>
      <c r="H35" s="10">
        <v>11</v>
      </c>
    </row>
    <row r="36" spans="1:8" x14ac:dyDescent="0.25">
      <c r="A36" s="4" t="s">
        <v>49</v>
      </c>
      <c r="B36" s="10">
        <v>16</v>
      </c>
      <c r="C36" s="10">
        <v>583</v>
      </c>
      <c r="D36" s="10">
        <v>164</v>
      </c>
      <c r="E36" s="10">
        <v>330</v>
      </c>
      <c r="F36" s="10">
        <v>0</v>
      </c>
      <c r="G36" s="10">
        <v>494</v>
      </c>
      <c r="H36" s="10">
        <v>89</v>
      </c>
    </row>
    <row r="37" spans="1:8" x14ac:dyDescent="0.25">
      <c r="A37" s="4" t="s">
        <v>50</v>
      </c>
      <c r="B37" s="10">
        <v>2</v>
      </c>
      <c r="C37" s="10">
        <v>248</v>
      </c>
      <c r="D37" s="10">
        <v>65</v>
      </c>
      <c r="E37" s="10">
        <v>70</v>
      </c>
      <c r="F37" s="10">
        <v>0</v>
      </c>
      <c r="G37" s="10">
        <v>135</v>
      </c>
      <c r="H37" s="10">
        <v>113</v>
      </c>
    </row>
    <row r="38" spans="1:8" x14ac:dyDescent="0.25">
      <c r="A38" s="4" t="s">
        <v>51</v>
      </c>
      <c r="B38" s="10">
        <v>3</v>
      </c>
      <c r="C38" s="10">
        <v>832</v>
      </c>
      <c r="D38" s="10">
        <v>166</v>
      </c>
      <c r="E38" s="10">
        <v>326</v>
      </c>
      <c r="F38" s="10">
        <v>0</v>
      </c>
      <c r="G38" s="10">
        <v>492</v>
      </c>
      <c r="H38" s="10">
        <v>340</v>
      </c>
    </row>
    <row r="39" spans="1:8" x14ac:dyDescent="0.25">
      <c r="A39" s="4" t="s">
        <v>52</v>
      </c>
      <c r="B39" s="10">
        <v>26</v>
      </c>
      <c r="C39" s="10">
        <v>1244</v>
      </c>
      <c r="D39" s="10">
        <v>608</v>
      </c>
      <c r="E39" s="10">
        <v>524</v>
      </c>
      <c r="F39" s="10">
        <v>54</v>
      </c>
      <c r="G39" s="10">
        <v>1186</v>
      </c>
      <c r="H39" s="10">
        <v>58</v>
      </c>
    </row>
    <row r="40" spans="1:8" x14ac:dyDescent="0.25">
      <c r="A40" s="4" t="s">
        <v>53</v>
      </c>
      <c r="B40" s="10">
        <v>9</v>
      </c>
      <c r="C40" s="10">
        <v>862</v>
      </c>
      <c r="D40" s="10">
        <v>319</v>
      </c>
      <c r="E40" s="10">
        <v>456</v>
      </c>
      <c r="F40" s="10">
        <v>10</v>
      </c>
      <c r="G40" s="10">
        <v>785</v>
      </c>
      <c r="H40" s="10">
        <v>77</v>
      </c>
    </row>
    <row r="41" spans="1:8" x14ac:dyDescent="0.25">
      <c r="A41" s="4" t="s">
        <v>54</v>
      </c>
      <c r="B41" s="10">
        <v>8</v>
      </c>
      <c r="C41" s="10">
        <v>349</v>
      </c>
      <c r="D41" s="10">
        <v>154</v>
      </c>
      <c r="E41" s="10">
        <v>79</v>
      </c>
      <c r="F41" s="10">
        <v>2</v>
      </c>
      <c r="G41" s="10">
        <v>235</v>
      </c>
      <c r="H41" s="10">
        <v>114</v>
      </c>
    </row>
    <row r="42" spans="1:8" x14ac:dyDescent="0.25">
      <c r="A42" s="4" t="s">
        <v>55</v>
      </c>
      <c r="B42" s="10">
        <v>7</v>
      </c>
      <c r="C42" s="10">
        <v>1251</v>
      </c>
      <c r="D42" s="10">
        <v>274</v>
      </c>
      <c r="E42" s="10">
        <v>309</v>
      </c>
      <c r="F42" s="10">
        <v>0</v>
      </c>
      <c r="G42" s="10">
        <v>583</v>
      </c>
      <c r="H42" s="10">
        <v>668</v>
      </c>
    </row>
    <row r="43" spans="1:8" x14ac:dyDescent="0.25">
      <c r="A43" s="4" t="s">
        <v>56</v>
      </c>
      <c r="B43" s="10">
        <v>16</v>
      </c>
      <c r="C43" s="10">
        <v>963</v>
      </c>
      <c r="D43" s="10">
        <v>273</v>
      </c>
      <c r="E43" s="10">
        <v>587</v>
      </c>
      <c r="F43" s="10">
        <v>15</v>
      </c>
      <c r="G43" s="10">
        <v>875</v>
      </c>
      <c r="H43" s="10">
        <v>88</v>
      </c>
    </row>
    <row r="44" spans="1:8" x14ac:dyDescent="0.25">
      <c r="A44" s="4" t="s">
        <v>57</v>
      </c>
      <c r="B44" s="10">
        <v>2</v>
      </c>
      <c r="C44" s="10">
        <v>94</v>
      </c>
      <c r="D44" s="10">
        <v>5</v>
      </c>
      <c r="E44" s="10">
        <v>25</v>
      </c>
      <c r="F44" s="10">
        <v>0</v>
      </c>
      <c r="G44" s="10">
        <v>30</v>
      </c>
      <c r="H44" s="10">
        <v>64</v>
      </c>
    </row>
    <row r="45" spans="1:8" x14ac:dyDescent="0.25">
      <c r="A45" s="4" t="s">
        <v>58</v>
      </c>
      <c r="B45" s="10">
        <v>1</v>
      </c>
      <c r="C45" s="10">
        <v>95</v>
      </c>
      <c r="D45" s="10">
        <v>31</v>
      </c>
      <c r="E45" s="10">
        <v>61</v>
      </c>
      <c r="F45" s="10">
        <v>0</v>
      </c>
      <c r="G45" s="10">
        <v>92</v>
      </c>
      <c r="H45" s="10">
        <v>3</v>
      </c>
    </row>
    <row r="46" spans="1:8" x14ac:dyDescent="0.25">
      <c r="A46" s="4" t="s">
        <v>59</v>
      </c>
      <c r="B46" s="10">
        <v>4</v>
      </c>
      <c r="C46" s="10">
        <v>480</v>
      </c>
      <c r="D46" s="10">
        <v>108</v>
      </c>
      <c r="E46" s="10">
        <v>212</v>
      </c>
      <c r="F46" s="10">
        <v>1</v>
      </c>
      <c r="G46" s="10">
        <v>321</v>
      </c>
      <c r="H46" s="10">
        <v>159</v>
      </c>
    </row>
    <row r="47" spans="1:8" x14ac:dyDescent="0.25">
      <c r="A47" s="4" t="s">
        <v>60</v>
      </c>
      <c r="B47" s="10">
        <v>1</v>
      </c>
      <c r="C47" s="10">
        <v>130</v>
      </c>
      <c r="D47" s="10">
        <v>48</v>
      </c>
      <c r="E47" s="10">
        <v>75</v>
      </c>
      <c r="F47" s="10">
        <v>0</v>
      </c>
      <c r="G47" s="10">
        <v>123</v>
      </c>
      <c r="H47" s="10">
        <v>7</v>
      </c>
    </row>
    <row r="48" spans="1:8" x14ac:dyDescent="0.25">
      <c r="A48" s="4" t="s">
        <v>61</v>
      </c>
      <c r="B48" s="10">
        <v>10</v>
      </c>
      <c r="C48" s="10">
        <v>757</v>
      </c>
      <c r="D48" s="10">
        <v>291</v>
      </c>
      <c r="E48" s="10">
        <v>324</v>
      </c>
      <c r="F48" s="10">
        <v>0</v>
      </c>
      <c r="G48" s="10">
        <v>615</v>
      </c>
      <c r="H48" s="10">
        <v>142</v>
      </c>
    </row>
    <row r="49" spans="1:8" x14ac:dyDescent="0.25">
      <c r="A49" s="4" t="s">
        <v>62</v>
      </c>
      <c r="B49" s="10">
        <v>11</v>
      </c>
      <c r="C49" s="10">
        <v>2200</v>
      </c>
      <c r="D49" s="10">
        <v>803</v>
      </c>
      <c r="E49" s="10">
        <v>562</v>
      </c>
      <c r="F49" s="10">
        <v>14</v>
      </c>
      <c r="G49" s="10">
        <v>1379</v>
      </c>
      <c r="H49" s="10">
        <v>821</v>
      </c>
    </row>
    <row r="50" spans="1:8" x14ac:dyDescent="0.25">
      <c r="A50" s="4" t="s">
        <v>63</v>
      </c>
      <c r="B50" s="10">
        <v>3</v>
      </c>
      <c r="C50" s="10">
        <v>220</v>
      </c>
      <c r="D50" s="10">
        <v>83</v>
      </c>
      <c r="E50" s="10">
        <v>120</v>
      </c>
      <c r="F50" s="10">
        <v>0</v>
      </c>
      <c r="G50" s="10">
        <v>203</v>
      </c>
      <c r="H50" s="10">
        <v>17</v>
      </c>
    </row>
    <row r="51" spans="1:8" x14ac:dyDescent="0.25">
      <c r="A51" s="4" t="s">
        <v>64</v>
      </c>
      <c r="B51" s="10">
        <v>16</v>
      </c>
      <c r="C51" s="10">
        <v>478</v>
      </c>
      <c r="D51" s="10">
        <v>265</v>
      </c>
      <c r="E51" s="10">
        <v>116</v>
      </c>
      <c r="F51" s="10">
        <v>3</v>
      </c>
      <c r="G51" s="10">
        <v>384</v>
      </c>
      <c r="H51" s="10">
        <v>94</v>
      </c>
    </row>
    <row r="52" spans="1:8" x14ac:dyDescent="0.25">
      <c r="A52" s="4" t="s">
        <v>65</v>
      </c>
      <c r="B52" s="10">
        <v>1</v>
      </c>
      <c r="C52" s="10">
        <v>23</v>
      </c>
      <c r="D52" s="10">
        <v>3</v>
      </c>
      <c r="E52" s="10">
        <v>3</v>
      </c>
      <c r="F52" s="10">
        <v>0</v>
      </c>
      <c r="G52" s="10">
        <v>6</v>
      </c>
      <c r="H52" s="10">
        <v>17</v>
      </c>
    </row>
    <row r="53" spans="1:8" x14ac:dyDescent="0.25">
      <c r="A53" s="4" t="s">
        <v>66</v>
      </c>
      <c r="B53" s="10">
        <v>2</v>
      </c>
      <c r="C53" s="10">
        <v>94</v>
      </c>
      <c r="D53" s="10">
        <v>22</v>
      </c>
      <c r="E53" s="10">
        <v>67</v>
      </c>
      <c r="F53" s="10">
        <v>0</v>
      </c>
      <c r="G53" s="10">
        <v>89</v>
      </c>
      <c r="H53" s="10">
        <v>5</v>
      </c>
    </row>
    <row r="54" spans="1:8" x14ac:dyDescent="0.25">
      <c r="A54" s="4" t="s">
        <v>67</v>
      </c>
      <c r="B54" s="10">
        <v>7</v>
      </c>
      <c r="C54" s="10">
        <v>2093</v>
      </c>
      <c r="D54" s="10">
        <v>548</v>
      </c>
      <c r="E54" s="10">
        <v>546</v>
      </c>
      <c r="F54" s="10">
        <v>0</v>
      </c>
      <c r="G54" s="10">
        <v>1094</v>
      </c>
      <c r="H54" s="10">
        <v>999</v>
      </c>
    </row>
    <row r="55" spans="1:8" x14ac:dyDescent="0.25">
      <c r="A55" s="4" t="s">
        <v>68</v>
      </c>
      <c r="B55" s="10">
        <v>4</v>
      </c>
      <c r="C55" s="10">
        <v>329</v>
      </c>
      <c r="D55" s="10">
        <v>90</v>
      </c>
      <c r="E55" s="10">
        <v>212</v>
      </c>
      <c r="F55" s="10">
        <v>7</v>
      </c>
      <c r="G55" s="10">
        <v>309</v>
      </c>
      <c r="H55" s="10">
        <v>20</v>
      </c>
    </row>
    <row r="56" spans="1:8" x14ac:dyDescent="0.25">
      <c r="A56" s="4" t="s">
        <v>69</v>
      </c>
      <c r="B56" s="10">
        <v>4</v>
      </c>
      <c r="C56" s="10">
        <v>137</v>
      </c>
      <c r="D56" s="10">
        <v>76</v>
      </c>
      <c r="E56" s="10">
        <v>46</v>
      </c>
      <c r="F56" s="10">
        <v>2</v>
      </c>
      <c r="G56" s="10">
        <v>124</v>
      </c>
      <c r="H56" s="10">
        <v>13</v>
      </c>
    </row>
    <row r="57" spans="1:8" x14ac:dyDescent="0.25">
      <c r="A57" s="4" t="s">
        <v>70</v>
      </c>
      <c r="B57" s="10">
        <v>1</v>
      </c>
      <c r="C57" s="10">
        <v>63</v>
      </c>
      <c r="D57" s="10">
        <v>35</v>
      </c>
      <c r="E57" s="10">
        <v>15</v>
      </c>
      <c r="F57" s="10">
        <v>0</v>
      </c>
      <c r="G57" s="10">
        <v>50</v>
      </c>
      <c r="H57" s="10">
        <v>13</v>
      </c>
    </row>
    <row r="58" spans="1:8" x14ac:dyDescent="0.25">
      <c r="A58" s="6" t="s">
        <v>71</v>
      </c>
      <c r="B58" s="11">
        <v>399</v>
      </c>
      <c r="C58" s="11">
        <v>40020</v>
      </c>
      <c r="D58" s="11">
        <v>10504</v>
      </c>
      <c r="E58" s="11">
        <v>13876</v>
      </c>
      <c r="F58" s="11">
        <v>310</v>
      </c>
      <c r="G58" s="11">
        <v>24690</v>
      </c>
      <c r="H58" s="11">
        <v>15330</v>
      </c>
    </row>
    <row r="59" spans="1:8" ht="14.1" customHeight="1" x14ac:dyDescent="0.25">
      <c r="A59" s="8"/>
    </row>
    <row r="60" spans="1:8" x14ac:dyDescent="0.25">
      <c r="A60" s="12" t="s">
        <v>151</v>
      </c>
    </row>
  </sheetData>
  <pageMargins left="0.08" right="0.08" top="1" bottom="1" header="0.5" footer="0.5"/>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73A9A-B3B6-49AF-85B2-30CF05752A48}">
  <dimension ref="A1:H60"/>
  <sheetViews>
    <sheetView workbookViewId="0">
      <selection activeCell="C20" sqref="C20"/>
    </sheetView>
  </sheetViews>
  <sheetFormatPr defaultRowHeight="15" x14ac:dyDescent="0.25"/>
  <cols>
    <col min="1" max="1" width="11.42578125" style="1" bestFit="1" customWidth="1"/>
    <col min="2" max="8" width="17.140625" style="1" bestFit="1" customWidth="1"/>
    <col min="9" max="16384" width="9.140625" style="1"/>
  </cols>
  <sheetData>
    <row r="1" spans="1:8" ht="39" x14ac:dyDescent="0.25">
      <c r="A1" s="2" t="s">
        <v>72</v>
      </c>
      <c r="B1" s="9" t="s">
        <v>73</v>
      </c>
      <c r="C1" s="9" t="s">
        <v>122</v>
      </c>
      <c r="D1" s="9" t="s">
        <v>123</v>
      </c>
      <c r="E1" s="9" t="s">
        <v>124</v>
      </c>
      <c r="F1" s="9" t="s">
        <v>125</v>
      </c>
      <c r="G1" s="9" t="s">
        <v>126</v>
      </c>
      <c r="H1" s="9" t="s">
        <v>127</v>
      </c>
    </row>
    <row r="2" spans="1:8" x14ac:dyDescent="0.25">
      <c r="A2" s="4" t="s">
        <v>14</v>
      </c>
      <c r="B2" s="10">
        <v>2</v>
      </c>
      <c r="C2" s="10">
        <v>168</v>
      </c>
      <c r="D2" s="10">
        <v>72</v>
      </c>
      <c r="E2" s="10">
        <v>40</v>
      </c>
      <c r="F2" s="10">
        <v>0</v>
      </c>
      <c r="G2" s="10">
        <v>112</v>
      </c>
      <c r="H2" s="10">
        <v>56</v>
      </c>
    </row>
    <row r="3" spans="1:8" x14ac:dyDescent="0.25">
      <c r="A3" s="4" t="s">
        <v>15</v>
      </c>
      <c r="B3" s="10">
        <v>8</v>
      </c>
      <c r="C3" s="10">
        <v>373</v>
      </c>
      <c r="D3" s="10">
        <v>207</v>
      </c>
      <c r="E3" s="10">
        <v>113</v>
      </c>
      <c r="F3" s="10">
        <v>1</v>
      </c>
      <c r="G3" s="10">
        <v>321</v>
      </c>
      <c r="H3" s="10">
        <v>52</v>
      </c>
    </row>
    <row r="4" spans="1:8" x14ac:dyDescent="0.25">
      <c r="A4" s="4" t="s">
        <v>16</v>
      </c>
      <c r="B4" s="10">
        <v>7</v>
      </c>
      <c r="C4" s="10">
        <v>222</v>
      </c>
      <c r="D4" s="10">
        <v>67</v>
      </c>
      <c r="E4" s="10">
        <v>92</v>
      </c>
      <c r="F4" s="10">
        <v>0</v>
      </c>
      <c r="G4" s="10">
        <v>159</v>
      </c>
      <c r="H4" s="10">
        <v>63</v>
      </c>
    </row>
    <row r="5" spans="1:8" x14ac:dyDescent="0.25">
      <c r="A5" s="4" t="s">
        <v>17</v>
      </c>
      <c r="B5" s="10">
        <v>0</v>
      </c>
      <c r="C5" s="10" t="s">
        <v>18</v>
      </c>
      <c r="D5" s="10" t="s">
        <v>18</v>
      </c>
      <c r="E5" s="10" t="s">
        <v>18</v>
      </c>
      <c r="F5" s="10" t="s">
        <v>18</v>
      </c>
      <c r="G5" s="10" t="s">
        <v>18</v>
      </c>
      <c r="H5" s="10" t="s">
        <v>18</v>
      </c>
    </row>
    <row r="6" spans="1:8" x14ac:dyDescent="0.25">
      <c r="A6" s="4" t="s">
        <v>19</v>
      </c>
      <c r="B6" s="10">
        <v>3</v>
      </c>
      <c r="C6" s="10">
        <v>1036</v>
      </c>
      <c r="D6" s="10">
        <v>268</v>
      </c>
      <c r="E6" s="10">
        <v>392</v>
      </c>
      <c r="F6" s="10">
        <v>3</v>
      </c>
      <c r="G6" s="10">
        <v>663</v>
      </c>
      <c r="H6" s="10">
        <v>373</v>
      </c>
    </row>
    <row r="7" spans="1:8" x14ac:dyDescent="0.25">
      <c r="A7" s="4" t="s">
        <v>20</v>
      </c>
      <c r="B7" s="10">
        <v>43</v>
      </c>
      <c r="C7" s="10">
        <v>9612</v>
      </c>
      <c r="D7" s="10">
        <v>1242</v>
      </c>
      <c r="E7" s="10">
        <v>2740</v>
      </c>
      <c r="F7" s="10">
        <v>30</v>
      </c>
      <c r="G7" s="10">
        <v>4012</v>
      </c>
      <c r="H7" s="10">
        <v>5600</v>
      </c>
    </row>
    <row r="8" spans="1:8" x14ac:dyDescent="0.25">
      <c r="A8" s="4" t="s">
        <v>21</v>
      </c>
      <c r="B8" s="10">
        <v>3</v>
      </c>
      <c r="C8" s="10">
        <v>1181</v>
      </c>
      <c r="D8" s="10">
        <v>331</v>
      </c>
      <c r="E8" s="10">
        <v>573</v>
      </c>
      <c r="F8" s="10">
        <v>2</v>
      </c>
      <c r="G8" s="10">
        <v>906</v>
      </c>
      <c r="H8" s="10">
        <v>275</v>
      </c>
    </row>
    <row r="9" spans="1:8" x14ac:dyDescent="0.25">
      <c r="A9" s="4" t="s">
        <v>22</v>
      </c>
      <c r="B9" s="10">
        <v>2</v>
      </c>
      <c r="C9" s="10">
        <v>216</v>
      </c>
      <c r="D9" s="10">
        <v>45</v>
      </c>
      <c r="E9" s="10">
        <v>128</v>
      </c>
      <c r="F9" s="10">
        <v>0</v>
      </c>
      <c r="G9" s="10">
        <v>173</v>
      </c>
      <c r="H9" s="10">
        <v>43</v>
      </c>
    </row>
    <row r="10" spans="1:8" x14ac:dyDescent="0.25">
      <c r="A10" s="4" t="s">
        <v>23</v>
      </c>
      <c r="B10" s="10">
        <v>1</v>
      </c>
      <c r="C10" s="10">
        <v>350</v>
      </c>
      <c r="D10" s="10">
        <v>148</v>
      </c>
      <c r="E10" s="10">
        <v>174</v>
      </c>
      <c r="F10" s="10">
        <v>0</v>
      </c>
      <c r="G10" s="10">
        <v>322</v>
      </c>
      <c r="H10" s="10">
        <v>28</v>
      </c>
    </row>
    <row r="11" spans="1:8" x14ac:dyDescent="0.25">
      <c r="A11" s="4" t="s">
        <v>24</v>
      </c>
      <c r="B11" s="10">
        <v>1</v>
      </c>
      <c r="C11" s="10">
        <v>107</v>
      </c>
      <c r="D11" s="10">
        <v>55</v>
      </c>
      <c r="E11" s="10">
        <v>48</v>
      </c>
      <c r="F11" s="10">
        <v>0</v>
      </c>
      <c r="G11" s="10">
        <v>103</v>
      </c>
      <c r="H11" s="10">
        <v>4</v>
      </c>
    </row>
    <row r="12" spans="1:8" x14ac:dyDescent="0.25">
      <c r="A12" s="4" t="s">
        <v>25</v>
      </c>
      <c r="B12" s="10">
        <v>27</v>
      </c>
      <c r="C12" s="10">
        <v>2902</v>
      </c>
      <c r="D12" s="10">
        <v>702</v>
      </c>
      <c r="E12" s="10">
        <v>1096</v>
      </c>
      <c r="F12" s="10">
        <v>27</v>
      </c>
      <c r="G12" s="10">
        <v>1825</v>
      </c>
      <c r="H12" s="10">
        <v>1077</v>
      </c>
    </row>
    <row r="13" spans="1:8" x14ac:dyDescent="0.25">
      <c r="A13" s="4" t="s">
        <v>26</v>
      </c>
      <c r="B13" s="10">
        <v>9</v>
      </c>
      <c r="C13" s="10">
        <v>1055</v>
      </c>
      <c r="D13" s="10">
        <v>249</v>
      </c>
      <c r="E13" s="10">
        <v>332</v>
      </c>
      <c r="F13" s="10">
        <v>0</v>
      </c>
      <c r="G13" s="10">
        <v>581</v>
      </c>
      <c r="H13" s="10">
        <v>474</v>
      </c>
    </row>
    <row r="14" spans="1:8" x14ac:dyDescent="0.25">
      <c r="A14" s="4" t="s">
        <v>27</v>
      </c>
      <c r="B14" s="10">
        <v>1</v>
      </c>
      <c r="C14" s="10">
        <v>21</v>
      </c>
      <c r="D14" s="10">
        <v>5</v>
      </c>
      <c r="E14" s="10">
        <v>1</v>
      </c>
      <c r="F14" s="10">
        <v>0</v>
      </c>
      <c r="G14" s="10">
        <v>6</v>
      </c>
      <c r="H14" s="10">
        <v>15</v>
      </c>
    </row>
    <row r="15" spans="1:8" x14ac:dyDescent="0.25">
      <c r="A15" s="4" t="s">
        <v>28</v>
      </c>
      <c r="B15" s="10">
        <v>2</v>
      </c>
      <c r="C15" s="10">
        <v>670</v>
      </c>
      <c r="D15" s="10">
        <v>102</v>
      </c>
      <c r="E15" s="10">
        <v>158</v>
      </c>
      <c r="F15" s="10">
        <v>4</v>
      </c>
      <c r="G15" s="10">
        <v>264</v>
      </c>
      <c r="H15" s="10">
        <v>406</v>
      </c>
    </row>
    <row r="16" spans="1:8" x14ac:dyDescent="0.25">
      <c r="A16" s="4" t="s">
        <v>29</v>
      </c>
      <c r="B16" s="10">
        <v>3</v>
      </c>
      <c r="C16" s="10">
        <v>170</v>
      </c>
      <c r="D16" s="10">
        <v>62</v>
      </c>
      <c r="E16" s="10">
        <v>92</v>
      </c>
      <c r="F16" s="10">
        <v>0</v>
      </c>
      <c r="G16" s="10">
        <v>154</v>
      </c>
      <c r="H16" s="10">
        <v>16</v>
      </c>
    </row>
    <row r="17" spans="1:8" x14ac:dyDescent="0.25">
      <c r="A17" s="4" t="s">
        <v>30</v>
      </c>
      <c r="B17" s="10">
        <v>2</v>
      </c>
      <c r="C17" s="10">
        <v>267</v>
      </c>
      <c r="D17" s="10">
        <v>70</v>
      </c>
      <c r="E17" s="10">
        <v>132</v>
      </c>
      <c r="F17" s="10">
        <v>0</v>
      </c>
      <c r="G17" s="10">
        <v>202</v>
      </c>
      <c r="H17" s="10">
        <v>65</v>
      </c>
    </row>
    <row r="18" spans="1:8" x14ac:dyDescent="0.25">
      <c r="A18" s="4" t="s">
        <v>31</v>
      </c>
      <c r="B18" s="10">
        <v>20</v>
      </c>
      <c r="C18" s="10">
        <v>949</v>
      </c>
      <c r="D18" s="10">
        <v>272</v>
      </c>
      <c r="E18" s="10">
        <v>418</v>
      </c>
      <c r="F18" s="10">
        <v>23</v>
      </c>
      <c r="G18" s="10">
        <v>713</v>
      </c>
      <c r="H18" s="10">
        <v>236</v>
      </c>
    </row>
    <row r="19" spans="1:8" x14ac:dyDescent="0.25">
      <c r="A19" s="4" t="s">
        <v>32</v>
      </c>
      <c r="B19" s="10">
        <v>3</v>
      </c>
      <c r="C19" s="10">
        <v>663</v>
      </c>
      <c r="D19" s="10">
        <v>189</v>
      </c>
      <c r="E19" s="10">
        <v>402</v>
      </c>
      <c r="F19" s="10">
        <v>23</v>
      </c>
      <c r="G19" s="10">
        <v>614</v>
      </c>
      <c r="H19" s="10">
        <v>49</v>
      </c>
    </row>
    <row r="20" spans="1:8" x14ac:dyDescent="0.25">
      <c r="A20" s="4" t="s">
        <v>149</v>
      </c>
      <c r="B20" s="10">
        <v>5</v>
      </c>
      <c r="C20" s="10">
        <v>169</v>
      </c>
      <c r="D20" s="10">
        <v>55</v>
      </c>
      <c r="E20" s="10">
        <v>81</v>
      </c>
      <c r="F20" s="10">
        <v>2</v>
      </c>
      <c r="G20" s="10">
        <v>138</v>
      </c>
      <c r="H20" s="10">
        <v>31</v>
      </c>
    </row>
    <row r="21" spans="1:8" x14ac:dyDescent="0.25">
      <c r="A21" s="4" t="s">
        <v>34</v>
      </c>
      <c r="B21" s="10">
        <v>3</v>
      </c>
      <c r="C21" s="10">
        <v>512</v>
      </c>
      <c r="D21" s="10">
        <v>159</v>
      </c>
      <c r="E21" s="10">
        <v>293</v>
      </c>
      <c r="F21" s="10">
        <v>0</v>
      </c>
      <c r="G21" s="10">
        <v>452</v>
      </c>
      <c r="H21" s="10">
        <v>60</v>
      </c>
    </row>
    <row r="22" spans="1:8" x14ac:dyDescent="0.25">
      <c r="A22" s="4" t="s">
        <v>35</v>
      </c>
      <c r="B22" s="10">
        <v>9</v>
      </c>
      <c r="C22" s="10">
        <v>400</v>
      </c>
      <c r="D22" s="10">
        <v>113</v>
      </c>
      <c r="E22" s="10">
        <v>225</v>
      </c>
      <c r="F22" s="10">
        <v>25</v>
      </c>
      <c r="G22" s="10">
        <v>363</v>
      </c>
      <c r="H22" s="10">
        <v>37</v>
      </c>
    </row>
    <row r="23" spans="1:8" x14ac:dyDescent="0.25">
      <c r="A23" s="4" t="s">
        <v>36</v>
      </c>
      <c r="B23" s="10">
        <v>16</v>
      </c>
      <c r="C23" s="10">
        <v>949</v>
      </c>
      <c r="D23" s="10">
        <v>191</v>
      </c>
      <c r="E23" s="10">
        <v>708</v>
      </c>
      <c r="F23" s="10">
        <v>16</v>
      </c>
      <c r="G23" s="10">
        <v>915</v>
      </c>
      <c r="H23" s="10">
        <v>34</v>
      </c>
    </row>
    <row r="24" spans="1:8" x14ac:dyDescent="0.25">
      <c r="A24" s="4" t="s">
        <v>37</v>
      </c>
      <c r="B24" s="10">
        <v>16</v>
      </c>
      <c r="C24" s="10">
        <v>555</v>
      </c>
      <c r="D24" s="10">
        <v>157</v>
      </c>
      <c r="E24" s="10">
        <v>276</v>
      </c>
      <c r="F24" s="10">
        <v>3</v>
      </c>
      <c r="G24" s="10">
        <v>436</v>
      </c>
      <c r="H24" s="10">
        <v>119</v>
      </c>
    </row>
    <row r="25" spans="1:8" x14ac:dyDescent="0.25">
      <c r="A25" s="4" t="s">
        <v>38</v>
      </c>
      <c r="B25" s="10">
        <v>2</v>
      </c>
      <c r="C25" s="10">
        <v>146</v>
      </c>
      <c r="D25" s="10">
        <v>63</v>
      </c>
      <c r="E25" s="10">
        <v>62</v>
      </c>
      <c r="F25" s="10">
        <v>0</v>
      </c>
      <c r="G25" s="10">
        <v>125</v>
      </c>
      <c r="H25" s="10">
        <v>21</v>
      </c>
    </row>
    <row r="26" spans="1:8" x14ac:dyDescent="0.25">
      <c r="A26" s="4" t="s">
        <v>39</v>
      </c>
      <c r="B26" s="10">
        <v>21</v>
      </c>
      <c r="C26" s="10">
        <v>822</v>
      </c>
      <c r="D26" s="10">
        <v>253</v>
      </c>
      <c r="E26" s="10">
        <v>474</v>
      </c>
      <c r="F26" s="10">
        <v>31</v>
      </c>
      <c r="G26" s="10">
        <v>758</v>
      </c>
      <c r="H26" s="10">
        <v>64</v>
      </c>
    </row>
    <row r="27" spans="1:8" x14ac:dyDescent="0.25">
      <c r="A27" s="4" t="s">
        <v>40</v>
      </c>
      <c r="B27" s="10">
        <v>10</v>
      </c>
      <c r="C27" s="10">
        <v>279</v>
      </c>
      <c r="D27" s="10">
        <v>135</v>
      </c>
      <c r="E27" s="10">
        <v>113</v>
      </c>
      <c r="F27" s="10">
        <v>0</v>
      </c>
      <c r="G27" s="10">
        <v>248</v>
      </c>
      <c r="H27" s="10">
        <v>31</v>
      </c>
    </row>
    <row r="28" spans="1:8" x14ac:dyDescent="0.25">
      <c r="A28" s="4" t="s">
        <v>41</v>
      </c>
      <c r="B28" s="10">
        <v>8</v>
      </c>
      <c r="C28" s="10">
        <v>575</v>
      </c>
      <c r="D28" s="10">
        <v>196</v>
      </c>
      <c r="E28" s="10">
        <v>281</v>
      </c>
      <c r="F28" s="10">
        <v>17</v>
      </c>
      <c r="G28" s="10">
        <v>494</v>
      </c>
      <c r="H28" s="10">
        <v>81</v>
      </c>
    </row>
    <row r="29" spans="1:8" x14ac:dyDescent="0.25">
      <c r="A29" s="4" t="s">
        <v>42</v>
      </c>
      <c r="B29" s="10">
        <v>0</v>
      </c>
      <c r="C29" s="10" t="s">
        <v>18</v>
      </c>
      <c r="D29" s="10" t="s">
        <v>18</v>
      </c>
      <c r="E29" s="10" t="s">
        <v>18</v>
      </c>
      <c r="F29" s="10" t="s">
        <v>18</v>
      </c>
      <c r="G29" s="10" t="s">
        <v>18</v>
      </c>
      <c r="H29" s="10" t="s">
        <v>18</v>
      </c>
    </row>
    <row r="30" spans="1:8" x14ac:dyDescent="0.25">
      <c r="A30" s="4" t="s">
        <v>43</v>
      </c>
      <c r="B30" s="10">
        <v>3</v>
      </c>
      <c r="C30" s="10">
        <v>144</v>
      </c>
      <c r="D30" s="10">
        <v>25</v>
      </c>
      <c r="E30" s="10">
        <v>33</v>
      </c>
      <c r="F30" s="10">
        <v>0</v>
      </c>
      <c r="G30" s="10">
        <v>58</v>
      </c>
      <c r="H30" s="10">
        <v>86</v>
      </c>
    </row>
    <row r="31" spans="1:8" x14ac:dyDescent="0.25">
      <c r="A31" s="4" t="s">
        <v>44</v>
      </c>
      <c r="B31" s="10">
        <v>1</v>
      </c>
      <c r="C31" s="10">
        <v>165</v>
      </c>
      <c r="D31" s="10">
        <v>47</v>
      </c>
      <c r="E31" s="10">
        <v>45</v>
      </c>
      <c r="F31" s="10">
        <v>0</v>
      </c>
      <c r="G31" s="10">
        <v>92</v>
      </c>
      <c r="H31" s="10">
        <v>73</v>
      </c>
    </row>
    <row r="32" spans="1:8" x14ac:dyDescent="0.25">
      <c r="A32" s="4" t="s">
        <v>45</v>
      </c>
      <c r="B32" s="10">
        <v>12</v>
      </c>
      <c r="C32" s="10">
        <v>888</v>
      </c>
      <c r="D32" s="10">
        <v>324</v>
      </c>
      <c r="E32" s="10">
        <v>406</v>
      </c>
      <c r="F32" s="10">
        <v>0</v>
      </c>
      <c r="G32" s="10">
        <v>730</v>
      </c>
      <c r="H32" s="10">
        <v>158</v>
      </c>
    </row>
    <row r="33" spans="1:8" x14ac:dyDescent="0.25">
      <c r="A33" s="4" t="s">
        <v>46</v>
      </c>
      <c r="B33" s="10">
        <v>1</v>
      </c>
      <c r="C33" s="10">
        <v>116</v>
      </c>
      <c r="D33" s="10">
        <v>26</v>
      </c>
      <c r="E33" s="10">
        <v>37</v>
      </c>
      <c r="F33" s="10">
        <v>0</v>
      </c>
      <c r="G33" s="10">
        <v>63</v>
      </c>
      <c r="H33" s="10">
        <v>53</v>
      </c>
    </row>
    <row r="34" spans="1:8" x14ac:dyDescent="0.25">
      <c r="A34" s="4" t="s">
        <v>47</v>
      </c>
      <c r="B34" s="10">
        <v>3</v>
      </c>
      <c r="C34" s="10">
        <v>219</v>
      </c>
      <c r="D34" s="10">
        <v>95</v>
      </c>
      <c r="E34" s="10">
        <v>116</v>
      </c>
      <c r="F34" s="10">
        <v>0</v>
      </c>
      <c r="G34" s="10">
        <v>211</v>
      </c>
      <c r="H34" s="10">
        <v>8</v>
      </c>
    </row>
    <row r="35" spans="1:8" x14ac:dyDescent="0.25">
      <c r="A35" s="4" t="s">
        <v>48</v>
      </c>
      <c r="B35" s="10">
        <v>3</v>
      </c>
      <c r="C35" s="10">
        <v>123</v>
      </c>
      <c r="D35" s="10">
        <v>28</v>
      </c>
      <c r="E35" s="10">
        <v>90</v>
      </c>
      <c r="F35" s="10">
        <v>1</v>
      </c>
      <c r="G35" s="10">
        <v>119</v>
      </c>
      <c r="H35" s="10">
        <v>4</v>
      </c>
    </row>
    <row r="36" spans="1:8" x14ac:dyDescent="0.25">
      <c r="A36" s="4" t="s">
        <v>49</v>
      </c>
      <c r="B36" s="10">
        <v>15</v>
      </c>
      <c r="C36" s="10">
        <v>556</v>
      </c>
      <c r="D36" s="10">
        <v>166</v>
      </c>
      <c r="E36" s="10">
        <v>316</v>
      </c>
      <c r="F36" s="10">
        <v>3</v>
      </c>
      <c r="G36" s="10">
        <v>485</v>
      </c>
      <c r="H36" s="10">
        <v>71</v>
      </c>
    </row>
    <row r="37" spans="1:8" x14ac:dyDescent="0.25">
      <c r="A37" s="4" t="s">
        <v>50</v>
      </c>
      <c r="B37" s="10">
        <v>2</v>
      </c>
      <c r="C37" s="10">
        <v>214</v>
      </c>
      <c r="D37" s="10">
        <v>74</v>
      </c>
      <c r="E37" s="10">
        <v>76</v>
      </c>
      <c r="F37" s="10">
        <v>0</v>
      </c>
      <c r="G37" s="10">
        <v>150</v>
      </c>
      <c r="H37" s="10">
        <v>64</v>
      </c>
    </row>
    <row r="38" spans="1:8" x14ac:dyDescent="0.25">
      <c r="A38" s="4" t="s">
        <v>51</v>
      </c>
      <c r="B38" s="10">
        <v>3</v>
      </c>
      <c r="C38" s="10">
        <v>851</v>
      </c>
      <c r="D38" s="10">
        <v>110</v>
      </c>
      <c r="E38" s="10">
        <v>327</v>
      </c>
      <c r="F38" s="10">
        <v>0</v>
      </c>
      <c r="G38" s="10">
        <v>437</v>
      </c>
      <c r="H38" s="10">
        <v>414</v>
      </c>
    </row>
    <row r="39" spans="1:8" x14ac:dyDescent="0.25">
      <c r="A39" s="4" t="s">
        <v>52</v>
      </c>
      <c r="B39" s="10">
        <v>26</v>
      </c>
      <c r="C39" s="10">
        <v>1248</v>
      </c>
      <c r="D39" s="10">
        <v>393</v>
      </c>
      <c r="E39" s="10">
        <v>761</v>
      </c>
      <c r="F39" s="10">
        <v>2</v>
      </c>
      <c r="G39" s="10">
        <v>1156</v>
      </c>
      <c r="H39" s="10">
        <v>92</v>
      </c>
    </row>
    <row r="40" spans="1:8" x14ac:dyDescent="0.25">
      <c r="A40" s="4" t="s">
        <v>53</v>
      </c>
      <c r="B40" s="10">
        <v>9</v>
      </c>
      <c r="C40" s="10">
        <v>930</v>
      </c>
      <c r="D40" s="10">
        <v>334</v>
      </c>
      <c r="E40" s="10">
        <v>498</v>
      </c>
      <c r="F40" s="10">
        <v>13</v>
      </c>
      <c r="G40" s="10">
        <v>845</v>
      </c>
      <c r="H40" s="10">
        <v>85</v>
      </c>
    </row>
    <row r="41" spans="1:8" x14ac:dyDescent="0.25">
      <c r="A41" s="4" t="s">
        <v>54</v>
      </c>
      <c r="B41" s="10">
        <v>8</v>
      </c>
      <c r="C41" s="10">
        <v>358</v>
      </c>
      <c r="D41" s="10">
        <v>178</v>
      </c>
      <c r="E41" s="10">
        <v>81</v>
      </c>
      <c r="F41" s="10">
        <v>1</v>
      </c>
      <c r="G41" s="10">
        <v>260</v>
      </c>
      <c r="H41" s="10">
        <v>98</v>
      </c>
    </row>
    <row r="42" spans="1:8" x14ac:dyDescent="0.25">
      <c r="A42" s="4" t="s">
        <v>55</v>
      </c>
      <c r="B42" s="10">
        <v>7</v>
      </c>
      <c r="C42" s="10">
        <v>1341</v>
      </c>
      <c r="D42" s="10">
        <v>261</v>
      </c>
      <c r="E42" s="10">
        <v>341</v>
      </c>
      <c r="F42" s="10">
        <v>1</v>
      </c>
      <c r="G42" s="10">
        <v>603</v>
      </c>
      <c r="H42" s="10">
        <v>738</v>
      </c>
    </row>
    <row r="43" spans="1:8" x14ac:dyDescent="0.25">
      <c r="A43" s="4" t="s">
        <v>56</v>
      </c>
      <c r="B43" s="10">
        <v>16</v>
      </c>
      <c r="C43" s="10">
        <v>1136</v>
      </c>
      <c r="D43" s="10">
        <v>339</v>
      </c>
      <c r="E43" s="10">
        <v>741</v>
      </c>
      <c r="F43" s="10">
        <v>8</v>
      </c>
      <c r="G43" s="10">
        <v>1088</v>
      </c>
      <c r="H43" s="10">
        <v>48</v>
      </c>
    </row>
    <row r="44" spans="1:8" x14ac:dyDescent="0.25">
      <c r="A44" s="4" t="s">
        <v>57</v>
      </c>
      <c r="B44" s="10">
        <v>2</v>
      </c>
      <c r="C44" s="10">
        <v>146</v>
      </c>
      <c r="D44" s="10">
        <v>13</v>
      </c>
      <c r="E44" s="10">
        <v>24</v>
      </c>
      <c r="F44" s="10">
        <v>0</v>
      </c>
      <c r="G44" s="10">
        <v>37</v>
      </c>
      <c r="H44" s="10">
        <v>109</v>
      </c>
    </row>
    <row r="45" spans="1:8" x14ac:dyDescent="0.25">
      <c r="A45" s="4" t="s">
        <v>58</v>
      </c>
      <c r="B45" s="10">
        <v>1</v>
      </c>
      <c r="C45" s="10">
        <v>89</v>
      </c>
      <c r="D45" s="10">
        <v>20</v>
      </c>
      <c r="E45" s="10">
        <v>69</v>
      </c>
      <c r="F45" s="10">
        <v>0</v>
      </c>
      <c r="G45" s="10">
        <v>89</v>
      </c>
      <c r="H45" s="10">
        <v>0</v>
      </c>
    </row>
    <row r="46" spans="1:8" x14ac:dyDescent="0.25">
      <c r="A46" s="4" t="s">
        <v>59</v>
      </c>
      <c r="B46" s="10">
        <v>4</v>
      </c>
      <c r="C46" s="10">
        <v>738</v>
      </c>
      <c r="D46" s="10">
        <v>147</v>
      </c>
      <c r="E46" s="10">
        <v>304</v>
      </c>
      <c r="F46" s="10">
        <v>1</v>
      </c>
      <c r="G46" s="10">
        <v>452</v>
      </c>
      <c r="H46" s="10">
        <v>286</v>
      </c>
    </row>
    <row r="47" spans="1:8" x14ac:dyDescent="0.25">
      <c r="A47" s="4" t="s">
        <v>60</v>
      </c>
      <c r="B47" s="10">
        <v>1</v>
      </c>
      <c r="C47" s="10">
        <v>120</v>
      </c>
      <c r="D47" s="10">
        <v>24</v>
      </c>
      <c r="E47" s="10">
        <v>85</v>
      </c>
      <c r="F47" s="10">
        <v>0</v>
      </c>
      <c r="G47" s="10">
        <v>109</v>
      </c>
      <c r="H47" s="10">
        <v>11</v>
      </c>
    </row>
    <row r="48" spans="1:8" x14ac:dyDescent="0.25">
      <c r="A48" s="4" t="s">
        <v>61</v>
      </c>
      <c r="B48" s="10">
        <v>10</v>
      </c>
      <c r="C48" s="10">
        <v>831</v>
      </c>
      <c r="D48" s="10">
        <v>286</v>
      </c>
      <c r="E48" s="10">
        <v>367</v>
      </c>
      <c r="F48" s="10">
        <v>1</v>
      </c>
      <c r="G48" s="10">
        <v>654</v>
      </c>
      <c r="H48" s="10">
        <v>177</v>
      </c>
    </row>
    <row r="49" spans="1:8" x14ac:dyDescent="0.25">
      <c r="A49" s="4" t="s">
        <v>62</v>
      </c>
      <c r="B49" s="10">
        <v>11</v>
      </c>
      <c r="C49" s="10">
        <v>1768</v>
      </c>
      <c r="D49" s="10">
        <v>647</v>
      </c>
      <c r="E49" s="10">
        <v>618</v>
      </c>
      <c r="F49" s="10">
        <v>20</v>
      </c>
      <c r="G49" s="10">
        <v>1285</v>
      </c>
      <c r="H49" s="10">
        <v>483</v>
      </c>
    </row>
    <row r="50" spans="1:8" x14ac:dyDescent="0.25">
      <c r="A50" s="4" t="s">
        <v>63</v>
      </c>
      <c r="B50" s="10">
        <v>3</v>
      </c>
      <c r="C50" s="10">
        <v>335</v>
      </c>
      <c r="D50" s="10">
        <v>114</v>
      </c>
      <c r="E50" s="10">
        <v>197</v>
      </c>
      <c r="F50" s="10">
        <v>0</v>
      </c>
      <c r="G50" s="10">
        <v>311</v>
      </c>
      <c r="H50" s="10">
        <v>24</v>
      </c>
    </row>
    <row r="51" spans="1:8" x14ac:dyDescent="0.25">
      <c r="A51" s="4" t="s">
        <v>64</v>
      </c>
      <c r="B51" s="10">
        <v>16</v>
      </c>
      <c r="C51" s="10">
        <v>515</v>
      </c>
      <c r="D51" s="10">
        <v>305</v>
      </c>
      <c r="E51" s="10">
        <v>132</v>
      </c>
      <c r="F51" s="10">
        <v>2</v>
      </c>
      <c r="G51" s="10">
        <v>439</v>
      </c>
      <c r="H51" s="10">
        <v>76</v>
      </c>
    </row>
    <row r="52" spans="1:8" x14ac:dyDescent="0.25">
      <c r="A52" s="4" t="s">
        <v>65</v>
      </c>
      <c r="B52" s="10">
        <v>1</v>
      </c>
      <c r="C52" s="10">
        <v>32</v>
      </c>
      <c r="D52" s="10">
        <v>2</v>
      </c>
      <c r="E52" s="10">
        <v>0</v>
      </c>
      <c r="F52" s="10">
        <v>0</v>
      </c>
      <c r="G52" s="10">
        <v>2</v>
      </c>
      <c r="H52" s="10">
        <v>30</v>
      </c>
    </row>
    <row r="53" spans="1:8" x14ac:dyDescent="0.25">
      <c r="A53" s="4" t="s">
        <v>66</v>
      </c>
      <c r="B53" s="10">
        <v>2</v>
      </c>
      <c r="C53" s="10">
        <v>110</v>
      </c>
      <c r="D53" s="10">
        <v>22</v>
      </c>
      <c r="E53" s="10">
        <v>75</v>
      </c>
      <c r="F53" s="10">
        <v>0</v>
      </c>
      <c r="G53" s="10">
        <v>97</v>
      </c>
      <c r="H53" s="10">
        <v>13</v>
      </c>
    </row>
    <row r="54" spans="1:8" x14ac:dyDescent="0.25">
      <c r="A54" s="4" t="s">
        <v>67</v>
      </c>
      <c r="B54" s="10">
        <v>7</v>
      </c>
      <c r="C54" s="10">
        <v>1484</v>
      </c>
      <c r="D54" s="10">
        <v>548</v>
      </c>
      <c r="E54" s="10">
        <v>449</v>
      </c>
      <c r="F54" s="10">
        <v>2</v>
      </c>
      <c r="G54" s="10">
        <v>999</v>
      </c>
      <c r="H54" s="10">
        <v>485</v>
      </c>
    </row>
    <row r="55" spans="1:8" x14ac:dyDescent="0.25">
      <c r="A55" s="4" t="s">
        <v>68</v>
      </c>
      <c r="B55" s="10">
        <v>4</v>
      </c>
      <c r="C55" s="10">
        <v>415</v>
      </c>
      <c r="D55" s="10">
        <v>107</v>
      </c>
      <c r="E55" s="10">
        <v>285</v>
      </c>
      <c r="F55" s="10">
        <v>0</v>
      </c>
      <c r="G55" s="10">
        <v>392</v>
      </c>
      <c r="H55" s="10">
        <v>23</v>
      </c>
    </row>
    <row r="56" spans="1:8" x14ac:dyDescent="0.25">
      <c r="A56" s="4" t="s">
        <v>69</v>
      </c>
      <c r="B56" s="10">
        <v>4</v>
      </c>
      <c r="C56" s="10">
        <v>143</v>
      </c>
      <c r="D56" s="10">
        <v>68</v>
      </c>
      <c r="E56" s="10">
        <v>57</v>
      </c>
      <c r="F56" s="10">
        <v>1</v>
      </c>
      <c r="G56" s="10">
        <v>126</v>
      </c>
      <c r="H56" s="10">
        <v>17</v>
      </c>
    </row>
    <row r="57" spans="1:8" x14ac:dyDescent="0.25">
      <c r="A57" s="4" t="s">
        <v>70</v>
      </c>
      <c r="B57" s="10">
        <v>1</v>
      </c>
      <c r="C57" s="10">
        <v>87</v>
      </c>
      <c r="D57" s="10">
        <v>36</v>
      </c>
      <c r="E57" s="10">
        <v>20</v>
      </c>
      <c r="F57" s="10">
        <v>0</v>
      </c>
      <c r="G57" s="10">
        <v>56</v>
      </c>
      <c r="H57" s="10">
        <v>31</v>
      </c>
    </row>
    <row r="58" spans="1:8" x14ac:dyDescent="0.25">
      <c r="A58" s="6" t="s">
        <v>71</v>
      </c>
      <c r="B58" s="11">
        <v>402</v>
      </c>
      <c r="C58" s="11">
        <v>39471</v>
      </c>
      <c r="D58" s="11">
        <v>10147</v>
      </c>
      <c r="E58" s="11">
        <v>15994</v>
      </c>
      <c r="F58" s="11">
        <v>263</v>
      </c>
      <c r="G58" s="11">
        <v>26404</v>
      </c>
      <c r="H58" s="11">
        <v>13067</v>
      </c>
    </row>
    <row r="59" spans="1:8" ht="14.1" customHeight="1" x14ac:dyDescent="0.25">
      <c r="A59" s="8"/>
    </row>
    <row r="60" spans="1:8" x14ac:dyDescent="0.25">
      <c r="A60" s="12" t="s">
        <v>151</v>
      </c>
    </row>
  </sheetData>
  <pageMargins left="0.08" right="0.08" top="1" bottom="1" header="0.5" footer="0.5"/>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26523-6EFD-463D-AF50-6D1389CBE8A9}">
  <dimension ref="A1:H59"/>
  <sheetViews>
    <sheetView workbookViewId="0">
      <selection activeCell="B20" sqref="B20"/>
    </sheetView>
  </sheetViews>
  <sheetFormatPr defaultRowHeight="15" x14ac:dyDescent="0.25"/>
  <cols>
    <col min="1" max="1" width="11.42578125" style="1" bestFit="1" customWidth="1"/>
    <col min="2" max="8" width="17.140625" style="1" bestFit="1" customWidth="1"/>
    <col min="9" max="16384" width="9.140625" style="1"/>
  </cols>
  <sheetData>
    <row r="1" spans="1:8" ht="39" x14ac:dyDescent="0.25">
      <c r="A1" s="2" t="s">
        <v>72</v>
      </c>
      <c r="B1" s="9" t="s">
        <v>73</v>
      </c>
      <c r="C1" s="9" t="s">
        <v>128</v>
      </c>
      <c r="D1" s="9" t="s">
        <v>129</v>
      </c>
      <c r="E1" s="9" t="s">
        <v>130</v>
      </c>
      <c r="F1" s="9" t="s">
        <v>131</v>
      </c>
      <c r="G1" s="9" t="s">
        <v>132</v>
      </c>
      <c r="H1" s="9" t="s">
        <v>133</v>
      </c>
    </row>
    <row r="2" spans="1:8" x14ac:dyDescent="0.25">
      <c r="A2" s="4" t="s">
        <v>14</v>
      </c>
      <c r="B2" s="10">
        <v>2</v>
      </c>
      <c r="C2" s="10">
        <v>180</v>
      </c>
      <c r="D2" s="10">
        <v>106</v>
      </c>
      <c r="E2" s="10">
        <v>43</v>
      </c>
      <c r="F2" s="10">
        <v>0</v>
      </c>
      <c r="G2" s="10">
        <v>149</v>
      </c>
      <c r="H2" s="10">
        <v>31</v>
      </c>
    </row>
    <row r="3" spans="1:8" x14ac:dyDescent="0.25">
      <c r="A3" s="4" t="s">
        <v>15</v>
      </c>
      <c r="B3" s="10">
        <v>8</v>
      </c>
      <c r="C3" s="10">
        <v>474</v>
      </c>
      <c r="D3" s="10">
        <v>211</v>
      </c>
      <c r="E3" s="10">
        <v>187</v>
      </c>
      <c r="F3" s="10">
        <v>1</v>
      </c>
      <c r="G3" s="10">
        <v>399</v>
      </c>
      <c r="H3" s="10">
        <v>75</v>
      </c>
    </row>
    <row r="4" spans="1:8" x14ac:dyDescent="0.25">
      <c r="A4" s="4" t="s">
        <v>16</v>
      </c>
      <c r="B4" s="10">
        <v>7</v>
      </c>
      <c r="C4" s="10">
        <v>456</v>
      </c>
      <c r="D4" s="10">
        <v>246</v>
      </c>
      <c r="E4" s="10">
        <v>139</v>
      </c>
      <c r="F4" s="10">
        <v>0</v>
      </c>
      <c r="G4" s="10">
        <v>385</v>
      </c>
      <c r="H4" s="10">
        <v>71</v>
      </c>
    </row>
    <row r="5" spans="1:8" x14ac:dyDescent="0.25">
      <c r="A5" s="4" t="s">
        <v>17</v>
      </c>
      <c r="B5" s="10">
        <v>0</v>
      </c>
      <c r="C5" s="10" t="s">
        <v>18</v>
      </c>
      <c r="D5" s="10" t="s">
        <v>18</v>
      </c>
      <c r="E5" s="10" t="s">
        <v>18</v>
      </c>
      <c r="F5" s="10" t="s">
        <v>18</v>
      </c>
      <c r="G5" s="10" t="s">
        <v>18</v>
      </c>
      <c r="H5" s="10" t="s">
        <v>18</v>
      </c>
    </row>
    <row r="6" spans="1:8" x14ac:dyDescent="0.25">
      <c r="A6" s="4" t="s">
        <v>19</v>
      </c>
      <c r="B6" s="10">
        <v>3</v>
      </c>
      <c r="C6" s="10">
        <v>1220</v>
      </c>
      <c r="D6" s="10">
        <v>227</v>
      </c>
      <c r="E6" s="10">
        <v>442</v>
      </c>
      <c r="F6" s="10">
        <v>3</v>
      </c>
      <c r="G6" s="10">
        <v>672</v>
      </c>
      <c r="H6" s="10">
        <v>548</v>
      </c>
    </row>
    <row r="7" spans="1:8" x14ac:dyDescent="0.25">
      <c r="A7" s="4" t="s">
        <v>20</v>
      </c>
      <c r="B7" s="10">
        <v>43</v>
      </c>
      <c r="C7" s="10">
        <v>11311</v>
      </c>
      <c r="D7" s="10">
        <v>1940</v>
      </c>
      <c r="E7" s="10">
        <v>2337</v>
      </c>
      <c r="F7" s="10">
        <v>32</v>
      </c>
      <c r="G7" s="10">
        <v>4309</v>
      </c>
      <c r="H7" s="10">
        <v>7002</v>
      </c>
    </row>
    <row r="8" spans="1:8" x14ac:dyDescent="0.25">
      <c r="A8" s="4" t="s">
        <v>21</v>
      </c>
      <c r="B8" s="10">
        <v>3</v>
      </c>
      <c r="C8" s="10">
        <v>950</v>
      </c>
      <c r="D8" s="10">
        <v>376</v>
      </c>
      <c r="E8" s="10">
        <v>266</v>
      </c>
      <c r="F8" s="10">
        <v>2</v>
      </c>
      <c r="G8" s="10">
        <v>644</v>
      </c>
      <c r="H8" s="10">
        <v>306</v>
      </c>
    </row>
    <row r="9" spans="1:8" x14ac:dyDescent="0.25">
      <c r="A9" s="4" t="s">
        <v>22</v>
      </c>
      <c r="B9" s="10">
        <v>3</v>
      </c>
      <c r="C9" s="10">
        <v>282</v>
      </c>
      <c r="D9" s="10">
        <v>80</v>
      </c>
      <c r="E9" s="10">
        <v>161</v>
      </c>
      <c r="F9" s="10">
        <v>0</v>
      </c>
      <c r="G9" s="10">
        <v>241</v>
      </c>
      <c r="H9" s="10">
        <v>41</v>
      </c>
    </row>
    <row r="10" spans="1:8" x14ac:dyDescent="0.25">
      <c r="A10" s="4" t="s">
        <v>23</v>
      </c>
      <c r="B10" s="10">
        <v>1</v>
      </c>
      <c r="C10" s="10">
        <v>408</v>
      </c>
      <c r="D10" s="10">
        <v>247</v>
      </c>
      <c r="E10" s="10">
        <v>119</v>
      </c>
      <c r="F10" s="10">
        <v>0</v>
      </c>
      <c r="G10" s="10">
        <v>366</v>
      </c>
      <c r="H10" s="10">
        <v>42</v>
      </c>
    </row>
    <row r="11" spans="1:8" x14ac:dyDescent="0.25">
      <c r="A11" s="4" t="s">
        <v>24</v>
      </c>
      <c r="B11" s="10">
        <v>1</v>
      </c>
      <c r="C11" s="10">
        <v>79</v>
      </c>
      <c r="D11" s="10">
        <v>44</v>
      </c>
      <c r="E11" s="10">
        <v>30</v>
      </c>
      <c r="F11" s="10">
        <v>0</v>
      </c>
      <c r="G11" s="10">
        <v>74</v>
      </c>
      <c r="H11" s="10">
        <v>5</v>
      </c>
    </row>
    <row r="12" spans="1:8" x14ac:dyDescent="0.25">
      <c r="A12" s="4" t="s">
        <v>25</v>
      </c>
      <c r="B12" s="10">
        <v>27</v>
      </c>
      <c r="C12" s="10">
        <v>3926</v>
      </c>
      <c r="D12" s="10">
        <v>834</v>
      </c>
      <c r="E12" s="10">
        <v>1510</v>
      </c>
      <c r="F12" s="10">
        <v>28</v>
      </c>
      <c r="G12" s="10">
        <v>2372</v>
      </c>
      <c r="H12" s="10">
        <v>1554</v>
      </c>
    </row>
    <row r="13" spans="1:8" x14ac:dyDescent="0.25">
      <c r="A13" s="4" t="s">
        <v>26</v>
      </c>
      <c r="B13" s="10">
        <v>9</v>
      </c>
      <c r="C13" s="10">
        <v>1548</v>
      </c>
      <c r="D13" s="10">
        <v>274</v>
      </c>
      <c r="E13" s="10">
        <v>592</v>
      </c>
      <c r="F13" s="10">
        <v>0</v>
      </c>
      <c r="G13" s="10">
        <v>866</v>
      </c>
      <c r="H13" s="10">
        <v>682</v>
      </c>
    </row>
    <row r="14" spans="1:8" x14ac:dyDescent="0.25">
      <c r="A14" s="4" t="s">
        <v>27</v>
      </c>
      <c r="B14" s="10">
        <v>1</v>
      </c>
      <c r="C14" s="10">
        <v>23</v>
      </c>
      <c r="D14" s="10">
        <v>0</v>
      </c>
      <c r="E14" s="10">
        <v>1</v>
      </c>
      <c r="F14" s="10">
        <v>0</v>
      </c>
      <c r="G14" s="10">
        <v>1</v>
      </c>
      <c r="H14" s="10">
        <v>22</v>
      </c>
    </row>
    <row r="15" spans="1:8" x14ac:dyDescent="0.25">
      <c r="A15" s="4" t="s">
        <v>28</v>
      </c>
      <c r="B15" s="10">
        <v>2</v>
      </c>
      <c r="C15" s="10">
        <v>692</v>
      </c>
      <c r="D15" s="10">
        <v>88</v>
      </c>
      <c r="E15" s="10">
        <v>185</v>
      </c>
      <c r="F15" s="10">
        <v>2</v>
      </c>
      <c r="G15" s="10">
        <v>275</v>
      </c>
      <c r="H15" s="10">
        <v>417</v>
      </c>
    </row>
    <row r="16" spans="1:8" x14ac:dyDescent="0.25">
      <c r="A16" s="4" t="s">
        <v>29</v>
      </c>
      <c r="B16" s="10">
        <v>3</v>
      </c>
      <c r="C16" s="10">
        <v>207</v>
      </c>
      <c r="D16" s="10">
        <v>80</v>
      </c>
      <c r="E16" s="10">
        <v>95</v>
      </c>
      <c r="F16" s="10">
        <v>0</v>
      </c>
      <c r="G16" s="10">
        <v>175</v>
      </c>
      <c r="H16" s="10">
        <v>32</v>
      </c>
    </row>
    <row r="17" spans="1:8" x14ac:dyDescent="0.25">
      <c r="A17" s="4" t="s">
        <v>30</v>
      </c>
      <c r="B17" s="10">
        <v>2</v>
      </c>
      <c r="C17" s="10">
        <v>249</v>
      </c>
      <c r="D17" s="10">
        <v>52</v>
      </c>
      <c r="E17" s="10">
        <v>122</v>
      </c>
      <c r="F17" s="10">
        <v>0</v>
      </c>
      <c r="G17" s="10">
        <v>174</v>
      </c>
      <c r="H17" s="10">
        <v>75</v>
      </c>
    </row>
    <row r="18" spans="1:8" x14ac:dyDescent="0.25">
      <c r="A18" s="4" t="s">
        <v>31</v>
      </c>
      <c r="B18" s="10">
        <v>20</v>
      </c>
      <c r="C18" s="10">
        <v>1226</v>
      </c>
      <c r="D18" s="10">
        <v>259</v>
      </c>
      <c r="E18" s="10">
        <v>506</v>
      </c>
      <c r="F18" s="10">
        <v>4</v>
      </c>
      <c r="G18" s="10">
        <v>769</v>
      </c>
      <c r="H18" s="10">
        <v>457</v>
      </c>
    </row>
    <row r="19" spans="1:8" x14ac:dyDescent="0.25">
      <c r="A19" s="4" t="s">
        <v>32</v>
      </c>
      <c r="B19" s="10">
        <v>3</v>
      </c>
      <c r="C19" s="10">
        <v>790</v>
      </c>
      <c r="D19" s="10">
        <v>183</v>
      </c>
      <c r="E19" s="10">
        <v>515</v>
      </c>
      <c r="F19" s="10">
        <v>28</v>
      </c>
      <c r="G19" s="10">
        <v>726</v>
      </c>
      <c r="H19" s="10">
        <v>64</v>
      </c>
    </row>
    <row r="20" spans="1:8" x14ac:dyDescent="0.25">
      <c r="A20" s="4" t="s">
        <v>33</v>
      </c>
      <c r="B20" s="10">
        <v>5</v>
      </c>
      <c r="C20" s="10">
        <v>311</v>
      </c>
      <c r="D20" s="10">
        <v>98</v>
      </c>
      <c r="E20" s="10">
        <v>178</v>
      </c>
      <c r="F20" s="10">
        <v>0</v>
      </c>
      <c r="G20" s="10">
        <v>276</v>
      </c>
      <c r="H20" s="10">
        <v>35</v>
      </c>
    </row>
    <row r="21" spans="1:8" x14ac:dyDescent="0.25">
      <c r="A21" s="4" t="s">
        <v>34</v>
      </c>
      <c r="B21" s="10">
        <v>3</v>
      </c>
      <c r="C21" s="10">
        <v>591</v>
      </c>
      <c r="D21" s="10">
        <v>259</v>
      </c>
      <c r="E21" s="10">
        <v>282</v>
      </c>
      <c r="F21" s="10">
        <v>0</v>
      </c>
      <c r="G21" s="10">
        <v>541</v>
      </c>
      <c r="H21" s="10">
        <v>50</v>
      </c>
    </row>
    <row r="22" spans="1:8" x14ac:dyDescent="0.25">
      <c r="A22" s="4" t="s">
        <v>35</v>
      </c>
      <c r="B22" s="10">
        <v>9</v>
      </c>
      <c r="C22" s="10">
        <v>392</v>
      </c>
      <c r="D22" s="10">
        <v>76</v>
      </c>
      <c r="E22" s="10">
        <v>253</v>
      </c>
      <c r="F22" s="10">
        <v>21</v>
      </c>
      <c r="G22" s="10">
        <v>350</v>
      </c>
      <c r="H22" s="10">
        <v>42</v>
      </c>
    </row>
    <row r="23" spans="1:8" x14ac:dyDescent="0.25">
      <c r="A23" s="4" t="s">
        <v>36</v>
      </c>
      <c r="B23" s="10">
        <v>16</v>
      </c>
      <c r="C23" s="10">
        <v>1133</v>
      </c>
      <c r="D23" s="10">
        <v>367</v>
      </c>
      <c r="E23" s="10">
        <v>718</v>
      </c>
      <c r="F23" s="10">
        <v>16</v>
      </c>
      <c r="G23" s="10">
        <v>1101</v>
      </c>
      <c r="H23" s="10">
        <v>32</v>
      </c>
    </row>
    <row r="24" spans="1:8" x14ac:dyDescent="0.25">
      <c r="A24" s="4" t="s">
        <v>37</v>
      </c>
      <c r="B24" s="10">
        <v>16</v>
      </c>
      <c r="C24" s="10">
        <v>714</v>
      </c>
      <c r="D24" s="10">
        <v>235</v>
      </c>
      <c r="E24" s="10">
        <v>345</v>
      </c>
      <c r="F24" s="10">
        <v>6</v>
      </c>
      <c r="G24" s="10">
        <v>586</v>
      </c>
      <c r="H24" s="10">
        <v>128</v>
      </c>
    </row>
    <row r="25" spans="1:8" x14ac:dyDescent="0.25">
      <c r="A25" s="4" t="s">
        <v>38</v>
      </c>
      <c r="B25" s="10">
        <v>2</v>
      </c>
      <c r="C25" s="10">
        <v>151</v>
      </c>
      <c r="D25" s="10">
        <v>86</v>
      </c>
      <c r="E25" s="10">
        <v>56</v>
      </c>
      <c r="F25" s="10">
        <v>0</v>
      </c>
      <c r="G25" s="10">
        <v>142</v>
      </c>
      <c r="H25" s="10">
        <v>9</v>
      </c>
    </row>
    <row r="26" spans="1:8" x14ac:dyDescent="0.25">
      <c r="A26" s="4" t="s">
        <v>39</v>
      </c>
      <c r="B26" s="10">
        <v>21</v>
      </c>
      <c r="C26" s="10">
        <v>1067</v>
      </c>
      <c r="D26" s="10">
        <v>373</v>
      </c>
      <c r="E26" s="10">
        <v>588</v>
      </c>
      <c r="F26" s="10">
        <v>30</v>
      </c>
      <c r="G26" s="10">
        <v>991</v>
      </c>
      <c r="H26" s="10">
        <v>76</v>
      </c>
    </row>
    <row r="27" spans="1:8" x14ac:dyDescent="0.25">
      <c r="A27" s="4" t="s">
        <v>40</v>
      </c>
      <c r="B27" s="10">
        <v>10</v>
      </c>
      <c r="C27" s="10">
        <v>297</v>
      </c>
      <c r="D27" s="10">
        <v>130</v>
      </c>
      <c r="E27" s="10">
        <v>123</v>
      </c>
      <c r="F27" s="10">
        <v>0</v>
      </c>
      <c r="G27" s="10">
        <v>253</v>
      </c>
      <c r="H27" s="10">
        <v>44</v>
      </c>
    </row>
    <row r="28" spans="1:8" x14ac:dyDescent="0.25">
      <c r="A28" s="4" t="s">
        <v>41</v>
      </c>
      <c r="B28" s="10">
        <v>8</v>
      </c>
      <c r="C28" s="10">
        <v>540</v>
      </c>
      <c r="D28" s="10">
        <v>193</v>
      </c>
      <c r="E28" s="10">
        <v>221</v>
      </c>
      <c r="F28" s="10">
        <v>16</v>
      </c>
      <c r="G28" s="10">
        <v>430</v>
      </c>
      <c r="H28" s="10">
        <v>110</v>
      </c>
    </row>
    <row r="29" spans="1:8" x14ac:dyDescent="0.25">
      <c r="A29" s="4" t="s">
        <v>42</v>
      </c>
      <c r="B29" s="10">
        <v>0</v>
      </c>
      <c r="C29" s="10" t="s">
        <v>18</v>
      </c>
      <c r="D29" s="10" t="s">
        <v>18</v>
      </c>
      <c r="E29" s="10" t="s">
        <v>18</v>
      </c>
      <c r="F29" s="10" t="s">
        <v>18</v>
      </c>
      <c r="G29" s="10" t="s">
        <v>18</v>
      </c>
      <c r="H29" s="10" t="s">
        <v>18</v>
      </c>
    </row>
    <row r="30" spans="1:8" x14ac:dyDescent="0.25">
      <c r="A30" s="4" t="s">
        <v>43</v>
      </c>
      <c r="B30" s="10">
        <v>3</v>
      </c>
      <c r="C30" s="10">
        <v>206</v>
      </c>
      <c r="D30" s="10">
        <v>33</v>
      </c>
      <c r="E30" s="10">
        <v>54</v>
      </c>
      <c r="F30" s="10">
        <v>0</v>
      </c>
      <c r="G30" s="10">
        <v>87</v>
      </c>
      <c r="H30" s="10">
        <v>119</v>
      </c>
    </row>
    <row r="31" spans="1:8" x14ac:dyDescent="0.25">
      <c r="A31" s="4" t="s">
        <v>44</v>
      </c>
      <c r="B31" s="10">
        <v>1</v>
      </c>
      <c r="C31" s="10">
        <v>277</v>
      </c>
      <c r="D31" s="10">
        <v>52</v>
      </c>
      <c r="E31" s="10">
        <v>46</v>
      </c>
      <c r="F31" s="10">
        <v>0</v>
      </c>
      <c r="G31" s="10">
        <v>98</v>
      </c>
      <c r="H31" s="10">
        <v>179</v>
      </c>
    </row>
    <row r="32" spans="1:8" x14ac:dyDescent="0.25">
      <c r="A32" s="4" t="s">
        <v>45</v>
      </c>
      <c r="B32" s="10">
        <v>12</v>
      </c>
      <c r="C32" s="10">
        <v>1092</v>
      </c>
      <c r="D32" s="10">
        <v>464</v>
      </c>
      <c r="E32" s="10">
        <v>440</v>
      </c>
      <c r="F32" s="10">
        <v>0</v>
      </c>
      <c r="G32" s="10">
        <v>904</v>
      </c>
      <c r="H32" s="10">
        <v>188</v>
      </c>
    </row>
    <row r="33" spans="1:8" x14ac:dyDescent="0.25">
      <c r="A33" s="4" t="s">
        <v>46</v>
      </c>
      <c r="B33" s="10">
        <v>1</v>
      </c>
      <c r="C33" s="10">
        <v>137</v>
      </c>
      <c r="D33" s="10">
        <v>52</v>
      </c>
      <c r="E33" s="10">
        <v>38</v>
      </c>
      <c r="F33" s="10">
        <v>0</v>
      </c>
      <c r="G33" s="10">
        <v>90</v>
      </c>
      <c r="H33" s="10">
        <v>47</v>
      </c>
    </row>
    <row r="34" spans="1:8" x14ac:dyDescent="0.25">
      <c r="A34" s="4" t="s">
        <v>47</v>
      </c>
      <c r="B34" s="10">
        <v>3</v>
      </c>
      <c r="C34" s="10">
        <v>247</v>
      </c>
      <c r="D34" s="10">
        <v>95</v>
      </c>
      <c r="E34" s="10">
        <v>136</v>
      </c>
      <c r="F34" s="10">
        <v>0</v>
      </c>
      <c r="G34" s="10">
        <v>231</v>
      </c>
      <c r="H34" s="10">
        <v>16</v>
      </c>
    </row>
    <row r="35" spans="1:8" x14ac:dyDescent="0.25">
      <c r="A35" s="4" t="s">
        <v>48</v>
      </c>
      <c r="B35" s="10">
        <v>3</v>
      </c>
      <c r="C35" s="10">
        <v>138</v>
      </c>
      <c r="D35" s="10">
        <v>38</v>
      </c>
      <c r="E35" s="10">
        <v>85</v>
      </c>
      <c r="F35" s="10">
        <v>1</v>
      </c>
      <c r="G35" s="10">
        <v>124</v>
      </c>
      <c r="H35" s="10">
        <v>14</v>
      </c>
    </row>
    <row r="36" spans="1:8" x14ac:dyDescent="0.25">
      <c r="A36" s="4" t="s">
        <v>49</v>
      </c>
      <c r="B36" s="10">
        <v>16</v>
      </c>
      <c r="C36" s="10">
        <v>696</v>
      </c>
      <c r="D36" s="10">
        <v>284</v>
      </c>
      <c r="E36" s="10">
        <v>330</v>
      </c>
      <c r="F36" s="10">
        <v>2</v>
      </c>
      <c r="G36" s="10">
        <v>616</v>
      </c>
      <c r="H36" s="10">
        <v>80</v>
      </c>
    </row>
    <row r="37" spans="1:8" x14ac:dyDescent="0.25">
      <c r="A37" s="4" t="s">
        <v>50</v>
      </c>
      <c r="B37" s="10">
        <v>2</v>
      </c>
      <c r="C37" s="10">
        <v>278</v>
      </c>
      <c r="D37" s="10">
        <v>133</v>
      </c>
      <c r="E37" s="10">
        <v>81</v>
      </c>
      <c r="F37" s="10">
        <v>0</v>
      </c>
      <c r="G37" s="10">
        <v>214</v>
      </c>
      <c r="H37" s="10">
        <v>64</v>
      </c>
    </row>
    <row r="38" spans="1:8" x14ac:dyDescent="0.25">
      <c r="A38" s="4" t="s">
        <v>51</v>
      </c>
      <c r="B38" s="10">
        <v>3</v>
      </c>
      <c r="C38" s="10">
        <v>860</v>
      </c>
      <c r="D38" s="10">
        <v>139</v>
      </c>
      <c r="E38" s="10">
        <v>377</v>
      </c>
      <c r="F38" s="10">
        <v>0</v>
      </c>
      <c r="G38" s="10">
        <v>516</v>
      </c>
      <c r="H38" s="10">
        <v>344</v>
      </c>
    </row>
    <row r="39" spans="1:8" x14ac:dyDescent="0.25">
      <c r="A39" s="4" t="s">
        <v>52</v>
      </c>
      <c r="B39" s="10">
        <v>27</v>
      </c>
      <c r="C39" s="10">
        <v>2399</v>
      </c>
      <c r="D39" s="10">
        <v>884</v>
      </c>
      <c r="E39" s="10">
        <v>1321</v>
      </c>
      <c r="F39" s="10">
        <v>63</v>
      </c>
      <c r="G39" s="10">
        <v>2268</v>
      </c>
      <c r="H39" s="10">
        <v>131</v>
      </c>
    </row>
    <row r="40" spans="1:8" x14ac:dyDescent="0.25">
      <c r="A40" s="4" t="s">
        <v>53</v>
      </c>
      <c r="B40" s="10">
        <v>9</v>
      </c>
      <c r="C40" s="10">
        <v>1183</v>
      </c>
      <c r="D40" s="10">
        <v>505</v>
      </c>
      <c r="E40" s="10">
        <v>557</v>
      </c>
      <c r="F40" s="10">
        <v>11</v>
      </c>
      <c r="G40" s="10">
        <v>1073</v>
      </c>
      <c r="H40" s="10">
        <v>110</v>
      </c>
    </row>
    <row r="41" spans="1:8" x14ac:dyDescent="0.25">
      <c r="A41" s="4" t="s">
        <v>54</v>
      </c>
      <c r="B41" s="10">
        <v>8</v>
      </c>
      <c r="C41" s="10">
        <v>351</v>
      </c>
      <c r="D41" s="10">
        <v>168</v>
      </c>
      <c r="E41" s="10">
        <v>80</v>
      </c>
      <c r="F41" s="10">
        <v>5</v>
      </c>
      <c r="G41" s="10">
        <v>253</v>
      </c>
      <c r="H41" s="10">
        <v>98</v>
      </c>
    </row>
    <row r="42" spans="1:8" x14ac:dyDescent="0.25">
      <c r="A42" s="4" t="s">
        <v>55</v>
      </c>
      <c r="B42" s="10">
        <v>7</v>
      </c>
      <c r="C42" s="10">
        <v>1464</v>
      </c>
      <c r="D42" s="10">
        <v>286</v>
      </c>
      <c r="E42" s="10">
        <v>483</v>
      </c>
      <c r="F42" s="10">
        <v>0</v>
      </c>
      <c r="G42" s="10">
        <v>769</v>
      </c>
      <c r="H42" s="10">
        <v>695</v>
      </c>
    </row>
    <row r="43" spans="1:8" x14ac:dyDescent="0.25">
      <c r="A43" s="4" t="s">
        <v>56</v>
      </c>
      <c r="B43" s="10">
        <v>16</v>
      </c>
      <c r="C43" s="10">
        <v>1375</v>
      </c>
      <c r="D43" s="10">
        <v>477</v>
      </c>
      <c r="E43" s="10">
        <v>757</v>
      </c>
      <c r="F43" s="10">
        <v>61</v>
      </c>
      <c r="G43" s="10">
        <v>1295</v>
      </c>
      <c r="H43" s="10">
        <v>80</v>
      </c>
    </row>
    <row r="44" spans="1:8" x14ac:dyDescent="0.25">
      <c r="A44" s="4" t="s">
        <v>57</v>
      </c>
      <c r="B44" s="10">
        <v>2</v>
      </c>
      <c r="C44" s="10">
        <v>164</v>
      </c>
      <c r="D44" s="10">
        <v>13</v>
      </c>
      <c r="E44" s="10">
        <v>41</v>
      </c>
      <c r="F44" s="10">
        <v>1</v>
      </c>
      <c r="G44" s="10">
        <v>55</v>
      </c>
      <c r="H44" s="10">
        <v>109</v>
      </c>
    </row>
    <row r="45" spans="1:8" x14ac:dyDescent="0.25">
      <c r="A45" s="4" t="s">
        <v>58</v>
      </c>
      <c r="B45" s="10">
        <v>1</v>
      </c>
      <c r="C45" s="10">
        <v>107</v>
      </c>
      <c r="D45" s="10">
        <v>35</v>
      </c>
      <c r="E45" s="10">
        <v>70</v>
      </c>
      <c r="F45" s="10">
        <v>0</v>
      </c>
      <c r="G45" s="10">
        <v>105</v>
      </c>
      <c r="H45" s="10">
        <v>2</v>
      </c>
    </row>
    <row r="46" spans="1:8" x14ac:dyDescent="0.25">
      <c r="A46" s="4" t="s">
        <v>59</v>
      </c>
      <c r="B46" s="10">
        <v>4</v>
      </c>
      <c r="C46" s="10">
        <v>681</v>
      </c>
      <c r="D46" s="10">
        <v>126</v>
      </c>
      <c r="E46" s="10">
        <v>344</v>
      </c>
      <c r="F46" s="10">
        <v>0</v>
      </c>
      <c r="G46" s="10">
        <v>470</v>
      </c>
      <c r="H46" s="10">
        <v>211</v>
      </c>
    </row>
    <row r="47" spans="1:8" x14ac:dyDescent="0.25">
      <c r="A47" s="4" t="s">
        <v>60</v>
      </c>
      <c r="B47" s="10">
        <v>1</v>
      </c>
      <c r="C47" s="10">
        <v>177</v>
      </c>
      <c r="D47" s="10">
        <v>85</v>
      </c>
      <c r="E47" s="10">
        <v>85</v>
      </c>
      <c r="F47" s="10">
        <v>0</v>
      </c>
      <c r="G47" s="10">
        <v>170</v>
      </c>
      <c r="H47" s="10">
        <v>7</v>
      </c>
    </row>
    <row r="48" spans="1:8" x14ac:dyDescent="0.25">
      <c r="A48" s="4" t="s">
        <v>61</v>
      </c>
      <c r="B48" s="10">
        <v>10</v>
      </c>
      <c r="C48" s="10">
        <v>945</v>
      </c>
      <c r="D48" s="10">
        <v>335</v>
      </c>
      <c r="E48" s="10">
        <v>419</v>
      </c>
      <c r="F48" s="10">
        <v>2</v>
      </c>
      <c r="G48" s="10">
        <v>756</v>
      </c>
      <c r="H48" s="10">
        <v>189</v>
      </c>
    </row>
    <row r="49" spans="1:8" x14ac:dyDescent="0.25">
      <c r="A49" s="4" t="s">
        <v>62</v>
      </c>
      <c r="B49" s="10">
        <v>11</v>
      </c>
      <c r="C49" s="10">
        <v>2393</v>
      </c>
      <c r="D49" s="10">
        <v>785</v>
      </c>
      <c r="E49" s="10">
        <v>686</v>
      </c>
      <c r="F49" s="10">
        <v>19</v>
      </c>
      <c r="G49" s="10">
        <v>1490</v>
      </c>
      <c r="H49" s="10">
        <v>903</v>
      </c>
    </row>
    <row r="50" spans="1:8" x14ac:dyDescent="0.25">
      <c r="A50" s="4" t="s">
        <v>63</v>
      </c>
      <c r="B50" s="10">
        <v>3</v>
      </c>
      <c r="C50" s="10">
        <v>337</v>
      </c>
      <c r="D50" s="10">
        <v>128</v>
      </c>
      <c r="E50" s="10">
        <v>183</v>
      </c>
      <c r="F50" s="10">
        <v>2</v>
      </c>
      <c r="G50" s="10">
        <v>313</v>
      </c>
      <c r="H50" s="10">
        <v>24</v>
      </c>
    </row>
    <row r="51" spans="1:8" x14ac:dyDescent="0.25">
      <c r="A51" s="4" t="s">
        <v>64</v>
      </c>
      <c r="B51" s="10">
        <v>16</v>
      </c>
      <c r="C51" s="10">
        <v>604</v>
      </c>
      <c r="D51" s="10">
        <v>370</v>
      </c>
      <c r="E51" s="10">
        <v>131</v>
      </c>
      <c r="F51" s="10">
        <v>12</v>
      </c>
      <c r="G51" s="10">
        <v>513</v>
      </c>
      <c r="H51" s="10">
        <v>91</v>
      </c>
    </row>
    <row r="52" spans="1:8" x14ac:dyDescent="0.25">
      <c r="A52" s="4" t="s">
        <v>65</v>
      </c>
      <c r="B52" s="10">
        <v>1</v>
      </c>
      <c r="C52" s="10">
        <v>34</v>
      </c>
      <c r="D52" s="10">
        <v>4</v>
      </c>
      <c r="E52" s="10">
        <v>0</v>
      </c>
      <c r="F52" s="10">
        <v>0</v>
      </c>
      <c r="G52" s="10">
        <v>4</v>
      </c>
      <c r="H52" s="10">
        <v>30</v>
      </c>
    </row>
    <row r="53" spans="1:8" x14ac:dyDescent="0.25">
      <c r="A53" s="4" t="s">
        <v>66</v>
      </c>
      <c r="B53" s="10">
        <v>2</v>
      </c>
      <c r="C53" s="10">
        <v>119</v>
      </c>
      <c r="D53" s="10">
        <v>42</v>
      </c>
      <c r="E53" s="10">
        <v>71</v>
      </c>
      <c r="F53" s="10">
        <v>0</v>
      </c>
      <c r="G53" s="10">
        <v>113</v>
      </c>
      <c r="H53" s="10">
        <v>6</v>
      </c>
    </row>
    <row r="54" spans="1:8" x14ac:dyDescent="0.25">
      <c r="A54" s="4" t="s">
        <v>67</v>
      </c>
      <c r="B54" s="10">
        <v>7</v>
      </c>
      <c r="C54" s="10">
        <v>1293</v>
      </c>
      <c r="D54" s="10">
        <v>482</v>
      </c>
      <c r="E54" s="10">
        <v>400</v>
      </c>
      <c r="F54" s="10">
        <v>4</v>
      </c>
      <c r="G54" s="10">
        <v>886</v>
      </c>
      <c r="H54" s="10">
        <v>407</v>
      </c>
    </row>
    <row r="55" spans="1:8" x14ac:dyDescent="0.25">
      <c r="A55" s="4" t="s">
        <v>68</v>
      </c>
      <c r="B55" s="10">
        <v>4</v>
      </c>
      <c r="C55" s="10">
        <v>534</v>
      </c>
      <c r="D55" s="10">
        <v>175</v>
      </c>
      <c r="E55" s="10">
        <v>340</v>
      </c>
      <c r="F55" s="10">
        <v>0</v>
      </c>
      <c r="G55" s="10">
        <v>515</v>
      </c>
      <c r="H55" s="10">
        <v>19</v>
      </c>
    </row>
    <row r="56" spans="1:8" x14ac:dyDescent="0.25">
      <c r="A56" s="4" t="s">
        <v>69</v>
      </c>
      <c r="B56" s="10">
        <v>4</v>
      </c>
      <c r="C56" s="10">
        <v>305</v>
      </c>
      <c r="D56" s="10">
        <v>163</v>
      </c>
      <c r="E56" s="10">
        <v>64</v>
      </c>
      <c r="F56" s="10">
        <v>0</v>
      </c>
      <c r="G56" s="10">
        <v>227</v>
      </c>
      <c r="H56" s="10">
        <v>78</v>
      </c>
    </row>
    <row r="57" spans="1:8" x14ac:dyDescent="0.25">
      <c r="A57" s="4" t="s">
        <v>70</v>
      </c>
      <c r="B57" s="10">
        <v>1</v>
      </c>
      <c r="C57" s="10">
        <v>112</v>
      </c>
      <c r="D57" s="10">
        <v>33</v>
      </c>
      <c r="E57" s="10">
        <v>50</v>
      </c>
      <c r="F57" s="10">
        <v>0</v>
      </c>
      <c r="G57" s="10">
        <v>83</v>
      </c>
      <c r="H57" s="10">
        <v>29</v>
      </c>
    </row>
    <row r="58" spans="1:8" x14ac:dyDescent="0.25">
      <c r="A58" s="6" t="s">
        <v>71</v>
      </c>
      <c r="B58" s="11">
        <v>406</v>
      </c>
      <c r="C58" s="11">
        <v>47725</v>
      </c>
      <c r="D58" s="11">
        <v>13450</v>
      </c>
      <c r="E58" s="11">
        <v>17683</v>
      </c>
      <c r="F58" s="11">
        <v>372</v>
      </c>
      <c r="G58" s="11">
        <v>31505</v>
      </c>
      <c r="H58" s="11">
        <v>16220</v>
      </c>
    </row>
    <row r="59" spans="1:8" ht="14.1" customHeight="1" x14ac:dyDescent="0.25">
      <c r="A59" s="8"/>
    </row>
  </sheetData>
  <pageMargins left="0.08" right="0.08" top="1" bottom="1" header="0.5" footer="0.5"/>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5349A-3186-4053-887A-877342D84A29}">
  <dimension ref="A1:H59"/>
  <sheetViews>
    <sheetView workbookViewId="0"/>
  </sheetViews>
  <sheetFormatPr defaultRowHeight="15" x14ac:dyDescent="0.25"/>
  <cols>
    <col min="1" max="1" width="11.42578125" style="1" bestFit="1" customWidth="1"/>
    <col min="2" max="8" width="17.140625" style="1" bestFit="1" customWidth="1"/>
    <col min="9" max="16384" width="9.140625" style="1"/>
  </cols>
  <sheetData>
    <row r="1" spans="1:8" ht="39" x14ac:dyDescent="0.25">
      <c r="A1" s="2" t="s">
        <v>72</v>
      </c>
      <c r="B1" s="9" t="s">
        <v>73</v>
      </c>
      <c r="C1" s="9" t="s">
        <v>134</v>
      </c>
      <c r="D1" s="9" t="s">
        <v>135</v>
      </c>
      <c r="E1" s="9" t="s">
        <v>136</v>
      </c>
      <c r="F1" s="9" t="s">
        <v>137</v>
      </c>
      <c r="G1" s="9" t="s">
        <v>138</v>
      </c>
      <c r="H1" s="9" t="s">
        <v>139</v>
      </c>
    </row>
    <row r="2" spans="1:8" x14ac:dyDescent="0.25">
      <c r="A2" s="4" t="s">
        <v>14</v>
      </c>
      <c r="B2" s="10">
        <v>2</v>
      </c>
      <c r="C2" s="10">
        <v>178</v>
      </c>
      <c r="D2" s="10">
        <v>119</v>
      </c>
      <c r="E2" s="10">
        <v>41</v>
      </c>
      <c r="F2" s="10">
        <v>0</v>
      </c>
      <c r="G2" s="10">
        <v>160</v>
      </c>
      <c r="H2" s="10">
        <v>18</v>
      </c>
    </row>
    <row r="3" spans="1:8" x14ac:dyDescent="0.25">
      <c r="A3" s="4" t="s">
        <v>15</v>
      </c>
      <c r="B3" s="10">
        <v>8</v>
      </c>
      <c r="C3" s="10">
        <v>542</v>
      </c>
      <c r="D3" s="10">
        <v>251</v>
      </c>
      <c r="E3" s="10">
        <v>199</v>
      </c>
      <c r="F3" s="10">
        <v>0</v>
      </c>
      <c r="G3" s="10">
        <v>450</v>
      </c>
      <c r="H3" s="10">
        <v>92</v>
      </c>
    </row>
    <row r="4" spans="1:8" x14ac:dyDescent="0.25">
      <c r="A4" s="4" t="s">
        <v>16</v>
      </c>
      <c r="B4" s="10">
        <v>6</v>
      </c>
      <c r="C4" s="10">
        <v>361</v>
      </c>
      <c r="D4" s="10">
        <v>117</v>
      </c>
      <c r="E4" s="10">
        <v>103</v>
      </c>
      <c r="F4" s="10">
        <v>0</v>
      </c>
      <c r="G4" s="10">
        <v>220</v>
      </c>
      <c r="H4" s="10">
        <v>141</v>
      </c>
    </row>
    <row r="5" spans="1:8" x14ac:dyDescent="0.25">
      <c r="A5" s="4" t="s">
        <v>17</v>
      </c>
      <c r="B5" s="10">
        <v>0</v>
      </c>
      <c r="C5" s="10" t="s">
        <v>18</v>
      </c>
      <c r="D5" s="10" t="s">
        <v>18</v>
      </c>
      <c r="E5" s="10" t="s">
        <v>18</v>
      </c>
      <c r="F5" s="10" t="s">
        <v>18</v>
      </c>
      <c r="G5" s="10" t="s">
        <v>18</v>
      </c>
      <c r="H5" s="10" t="s">
        <v>18</v>
      </c>
    </row>
    <row r="6" spans="1:8" x14ac:dyDescent="0.25">
      <c r="A6" s="4" t="s">
        <v>19</v>
      </c>
      <c r="B6" s="10">
        <v>3</v>
      </c>
      <c r="C6" s="10">
        <v>858</v>
      </c>
      <c r="D6" s="10">
        <v>244</v>
      </c>
      <c r="E6" s="10">
        <v>386</v>
      </c>
      <c r="F6" s="10">
        <v>5</v>
      </c>
      <c r="G6" s="10">
        <v>635</v>
      </c>
      <c r="H6" s="10">
        <v>223</v>
      </c>
    </row>
    <row r="7" spans="1:8" x14ac:dyDescent="0.25">
      <c r="A7" s="4" t="s">
        <v>20</v>
      </c>
      <c r="B7" s="10">
        <v>40</v>
      </c>
      <c r="C7" s="10">
        <v>12096</v>
      </c>
      <c r="D7" s="10">
        <v>1599</v>
      </c>
      <c r="E7" s="10">
        <v>2852</v>
      </c>
      <c r="F7" s="10">
        <v>6</v>
      </c>
      <c r="G7" s="10">
        <v>4457</v>
      </c>
      <c r="H7" s="10">
        <v>7639</v>
      </c>
    </row>
    <row r="8" spans="1:8" x14ac:dyDescent="0.25">
      <c r="A8" s="4" t="s">
        <v>21</v>
      </c>
      <c r="B8" s="10">
        <v>3</v>
      </c>
      <c r="C8" s="10">
        <v>753</v>
      </c>
      <c r="D8" s="10">
        <v>337</v>
      </c>
      <c r="E8" s="10">
        <v>191</v>
      </c>
      <c r="F8" s="10">
        <v>0</v>
      </c>
      <c r="G8" s="10">
        <v>528</v>
      </c>
      <c r="H8" s="10">
        <v>225</v>
      </c>
    </row>
    <row r="9" spans="1:8" x14ac:dyDescent="0.25">
      <c r="A9" s="4" t="s">
        <v>22</v>
      </c>
      <c r="B9" s="10">
        <v>6</v>
      </c>
      <c r="C9" s="10">
        <v>295</v>
      </c>
      <c r="D9" s="10">
        <v>73</v>
      </c>
      <c r="E9" s="10">
        <v>148</v>
      </c>
      <c r="F9" s="10">
        <v>0</v>
      </c>
      <c r="G9" s="10">
        <v>221</v>
      </c>
      <c r="H9" s="10">
        <v>74</v>
      </c>
    </row>
    <row r="10" spans="1:8" x14ac:dyDescent="0.25">
      <c r="A10" s="4" t="s">
        <v>23</v>
      </c>
      <c r="B10" s="10">
        <v>1</v>
      </c>
      <c r="C10" s="10">
        <v>406</v>
      </c>
      <c r="D10" s="10">
        <v>276</v>
      </c>
      <c r="E10" s="10">
        <v>99</v>
      </c>
      <c r="F10" s="10">
        <v>0</v>
      </c>
      <c r="G10" s="10">
        <v>375</v>
      </c>
      <c r="H10" s="10">
        <v>31</v>
      </c>
    </row>
    <row r="11" spans="1:8" x14ac:dyDescent="0.25">
      <c r="A11" s="4" t="s">
        <v>24</v>
      </c>
      <c r="B11" s="10">
        <v>1</v>
      </c>
      <c r="C11" s="10">
        <v>93</v>
      </c>
      <c r="D11" s="10">
        <v>39</v>
      </c>
      <c r="E11" s="10">
        <v>50</v>
      </c>
      <c r="F11" s="10">
        <v>0</v>
      </c>
      <c r="G11" s="10">
        <v>89</v>
      </c>
      <c r="H11" s="10">
        <v>4</v>
      </c>
    </row>
    <row r="12" spans="1:8" x14ac:dyDescent="0.25">
      <c r="A12" s="4" t="s">
        <v>25</v>
      </c>
      <c r="B12" s="10">
        <v>28</v>
      </c>
      <c r="C12" s="10">
        <v>4552</v>
      </c>
      <c r="D12" s="10">
        <v>924</v>
      </c>
      <c r="E12" s="10">
        <v>1466</v>
      </c>
      <c r="F12" s="10">
        <v>34</v>
      </c>
      <c r="G12" s="10">
        <v>2424</v>
      </c>
      <c r="H12" s="10">
        <v>2128</v>
      </c>
    </row>
    <row r="13" spans="1:8" x14ac:dyDescent="0.25">
      <c r="A13" s="4" t="s">
        <v>26</v>
      </c>
      <c r="B13" s="10">
        <v>9</v>
      </c>
      <c r="C13" s="10">
        <v>1443</v>
      </c>
      <c r="D13" s="10">
        <v>271</v>
      </c>
      <c r="E13" s="10">
        <v>376</v>
      </c>
      <c r="F13" s="10">
        <v>0</v>
      </c>
      <c r="G13" s="10">
        <v>647</v>
      </c>
      <c r="H13" s="10">
        <v>796</v>
      </c>
    </row>
    <row r="14" spans="1:8" x14ac:dyDescent="0.25">
      <c r="A14" s="4" t="s">
        <v>27</v>
      </c>
      <c r="B14" s="10">
        <v>1</v>
      </c>
      <c r="C14" s="10">
        <v>36</v>
      </c>
      <c r="D14" s="10">
        <v>2</v>
      </c>
      <c r="E14" s="10">
        <v>4</v>
      </c>
      <c r="F14" s="10">
        <v>0</v>
      </c>
      <c r="G14" s="10">
        <v>6</v>
      </c>
      <c r="H14" s="10">
        <v>30</v>
      </c>
    </row>
    <row r="15" spans="1:8" x14ac:dyDescent="0.25">
      <c r="A15" s="4" t="s">
        <v>28</v>
      </c>
      <c r="B15" s="10">
        <v>2</v>
      </c>
      <c r="C15" s="10">
        <v>593</v>
      </c>
      <c r="D15" s="10">
        <v>60</v>
      </c>
      <c r="E15" s="10">
        <v>182</v>
      </c>
      <c r="F15" s="10">
        <v>5</v>
      </c>
      <c r="G15" s="10">
        <v>247</v>
      </c>
      <c r="H15" s="10">
        <v>346</v>
      </c>
    </row>
    <row r="16" spans="1:8" x14ac:dyDescent="0.25">
      <c r="A16" s="4" t="s">
        <v>29</v>
      </c>
      <c r="B16" s="10">
        <v>3</v>
      </c>
      <c r="C16" s="10">
        <v>202</v>
      </c>
      <c r="D16" s="10">
        <v>105</v>
      </c>
      <c r="E16" s="10">
        <v>72</v>
      </c>
      <c r="F16" s="10">
        <v>0</v>
      </c>
      <c r="G16" s="10">
        <v>177</v>
      </c>
      <c r="H16" s="10">
        <v>25</v>
      </c>
    </row>
    <row r="17" spans="1:8" x14ac:dyDescent="0.25">
      <c r="A17" s="4" t="s">
        <v>30</v>
      </c>
      <c r="B17" s="10">
        <v>2</v>
      </c>
      <c r="C17" s="10">
        <v>215</v>
      </c>
      <c r="D17" s="10">
        <v>30</v>
      </c>
      <c r="E17" s="10">
        <v>105</v>
      </c>
      <c r="F17" s="10">
        <v>0</v>
      </c>
      <c r="G17" s="10">
        <v>135</v>
      </c>
      <c r="H17" s="10">
        <v>80</v>
      </c>
    </row>
    <row r="18" spans="1:8" x14ac:dyDescent="0.25">
      <c r="A18" s="4" t="s">
        <v>31</v>
      </c>
      <c r="B18" s="10">
        <v>20</v>
      </c>
      <c r="C18" s="10">
        <v>1234</v>
      </c>
      <c r="D18" s="10">
        <v>317</v>
      </c>
      <c r="E18" s="10">
        <v>593</v>
      </c>
      <c r="F18" s="10">
        <v>3</v>
      </c>
      <c r="G18" s="10">
        <v>913</v>
      </c>
      <c r="H18" s="10">
        <v>321</v>
      </c>
    </row>
    <row r="19" spans="1:8" x14ac:dyDescent="0.25">
      <c r="A19" s="4" t="s">
        <v>32</v>
      </c>
      <c r="B19" s="10">
        <v>3</v>
      </c>
      <c r="C19" s="10">
        <v>725</v>
      </c>
      <c r="D19" s="10">
        <v>252</v>
      </c>
      <c r="E19" s="10">
        <v>435</v>
      </c>
      <c r="F19" s="10">
        <v>0</v>
      </c>
      <c r="G19" s="10">
        <v>687</v>
      </c>
      <c r="H19" s="10">
        <v>38</v>
      </c>
    </row>
    <row r="20" spans="1:8" x14ac:dyDescent="0.25">
      <c r="A20" s="4" t="s">
        <v>33</v>
      </c>
      <c r="B20" s="10">
        <v>5</v>
      </c>
      <c r="C20" s="10">
        <v>393</v>
      </c>
      <c r="D20" s="10">
        <v>104</v>
      </c>
      <c r="E20" s="10">
        <v>252</v>
      </c>
      <c r="F20" s="10">
        <v>0</v>
      </c>
      <c r="G20" s="10">
        <v>356</v>
      </c>
      <c r="H20" s="10">
        <v>37</v>
      </c>
    </row>
    <row r="21" spans="1:8" x14ac:dyDescent="0.25">
      <c r="A21" s="4" t="s">
        <v>34</v>
      </c>
      <c r="B21" s="10">
        <v>3</v>
      </c>
      <c r="C21" s="10">
        <v>600</v>
      </c>
      <c r="D21" s="10">
        <v>255</v>
      </c>
      <c r="E21" s="10">
        <v>303</v>
      </c>
      <c r="F21" s="10">
        <v>0</v>
      </c>
      <c r="G21" s="10">
        <v>558</v>
      </c>
      <c r="H21" s="10">
        <v>42</v>
      </c>
    </row>
    <row r="22" spans="1:8" x14ac:dyDescent="0.25">
      <c r="A22" s="4" t="s">
        <v>35</v>
      </c>
      <c r="B22" s="10">
        <v>9</v>
      </c>
      <c r="C22" s="10">
        <v>437</v>
      </c>
      <c r="D22" s="10">
        <v>106</v>
      </c>
      <c r="E22" s="10">
        <v>223</v>
      </c>
      <c r="F22" s="10">
        <v>3</v>
      </c>
      <c r="G22" s="10">
        <v>332</v>
      </c>
      <c r="H22" s="10">
        <v>105</v>
      </c>
    </row>
    <row r="23" spans="1:8" x14ac:dyDescent="0.25">
      <c r="A23" s="4" t="s">
        <v>36</v>
      </c>
      <c r="B23" s="10">
        <v>18</v>
      </c>
      <c r="C23" s="10">
        <v>1264</v>
      </c>
      <c r="D23" s="10">
        <v>311</v>
      </c>
      <c r="E23" s="10">
        <v>901</v>
      </c>
      <c r="F23" s="10">
        <v>22</v>
      </c>
      <c r="G23" s="10">
        <v>1234</v>
      </c>
      <c r="H23" s="10">
        <v>30</v>
      </c>
    </row>
    <row r="24" spans="1:8" x14ac:dyDescent="0.25">
      <c r="A24" s="4" t="s">
        <v>37</v>
      </c>
      <c r="B24" s="10">
        <v>16</v>
      </c>
      <c r="C24" s="10">
        <v>654</v>
      </c>
      <c r="D24" s="10">
        <v>246</v>
      </c>
      <c r="E24" s="10">
        <v>307</v>
      </c>
      <c r="F24" s="10">
        <v>2</v>
      </c>
      <c r="G24" s="10">
        <v>555</v>
      </c>
      <c r="H24" s="10">
        <v>99</v>
      </c>
    </row>
    <row r="25" spans="1:8" x14ac:dyDescent="0.25">
      <c r="A25" s="4" t="s">
        <v>38</v>
      </c>
      <c r="B25" s="10">
        <v>2</v>
      </c>
      <c r="C25" s="10">
        <v>152</v>
      </c>
      <c r="D25" s="10">
        <v>82</v>
      </c>
      <c r="E25" s="10">
        <v>56</v>
      </c>
      <c r="F25" s="10">
        <v>0</v>
      </c>
      <c r="G25" s="10">
        <v>138</v>
      </c>
      <c r="H25" s="10">
        <v>14</v>
      </c>
    </row>
    <row r="26" spans="1:8" x14ac:dyDescent="0.25">
      <c r="A26" s="4" t="s">
        <v>39</v>
      </c>
      <c r="B26" s="10">
        <v>21</v>
      </c>
      <c r="C26" s="10">
        <v>1122</v>
      </c>
      <c r="D26" s="10">
        <v>372</v>
      </c>
      <c r="E26" s="10">
        <v>609</v>
      </c>
      <c r="F26" s="10">
        <v>13</v>
      </c>
      <c r="G26" s="10">
        <v>994</v>
      </c>
      <c r="H26" s="10">
        <v>128</v>
      </c>
    </row>
    <row r="27" spans="1:8" x14ac:dyDescent="0.25">
      <c r="A27" s="4" t="s">
        <v>40</v>
      </c>
      <c r="B27" s="10">
        <v>10</v>
      </c>
      <c r="C27" s="10">
        <v>317</v>
      </c>
      <c r="D27" s="10">
        <v>137</v>
      </c>
      <c r="E27" s="10">
        <v>126</v>
      </c>
      <c r="F27" s="10">
        <v>0</v>
      </c>
      <c r="G27" s="10">
        <v>263</v>
      </c>
      <c r="H27" s="10">
        <v>54</v>
      </c>
    </row>
    <row r="28" spans="1:8" x14ac:dyDescent="0.25">
      <c r="A28" s="4" t="s">
        <v>41</v>
      </c>
      <c r="B28" s="10">
        <v>8</v>
      </c>
      <c r="C28" s="10">
        <v>652</v>
      </c>
      <c r="D28" s="10">
        <v>259</v>
      </c>
      <c r="E28" s="10">
        <v>297</v>
      </c>
      <c r="F28" s="10">
        <v>7</v>
      </c>
      <c r="G28" s="10">
        <v>563</v>
      </c>
      <c r="H28" s="10">
        <v>89</v>
      </c>
    </row>
    <row r="29" spans="1:8" x14ac:dyDescent="0.25">
      <c r="A29" s="4" t="s">
        <v>42</v>
      </c>
      <c r="B29" s="10">
        <v>0</v>
      </c>
      <c r="C29" s="10" t="s">
        <v>18</v>
      </c>
      <c r="D29" s="10" t="s">
        <v>18</v>
      </c>
      <c r="E29" s="10" t="s">
        <v>18</v>
      </c>
      <c r="F29" s="10" t="s">
        <v>18</v>
      </c>
      <c r="G29" s="10" t="s">
        <v>18</v>
      </c>
      <c r="H29" s="10" t="s">
        <v>18</v>
      </c>
    </row>
    <row r="30" spans="1:8" x14ac:dyDescent="0.25">
      <c r="A30" s="4" t="s">
        <v>43</v>
      </c>
      <c r="B30" s="10">
        <v>3</v>
      </c>
      <c r="C30" s="10">
        <v>279</v>
      </c>
      <c r="D30" s="10">
        <v>64</v>
      </c>
      <c r="E30" s="10">
        <v>157</v>
      </c>
      <c r="F30" s="10">
        <v>0</v>
      </c>
      <c r="G30" s="10">
        <v>221</v>
      </c>
      <c r="H30" s="10">
        <v>58</v>
      </c>
    </row>
    <row r="31" spans="1:8" x14ac:dyDescent="0.25">
      <c r="A31" s="4" t="s">
        <v>44</v>
      </c>
      <c r="B31" s="10">
        <v>1</v>
      </c>
      <c r="C31" s="10">
        <v>256</v>
      </c>
      <c r="D31" s="10">
        <v>50</v>
      </c>
      <c r="E31" s="10">
        <v>44</v>
      </c>
      <c r="F31" s="10">
        <v>0</v>
      </c>
      <c r="G31" s="10">
        <v>94</v>
      </c>
      <c r="H31" s="10">
        <v>162</v>
      </c>
    </row>
    <row r="32" spans="1:8" x14ac:dyDescent="0.25">
      <c r="A32" s="4" t="s">
        <v>45</v>
      </c>
      <c r="B32" s="10">
        <v>12</v>
      </c>
      <c r="C32" s="10">
        <v>1164</v>
      </c>
      <c r="D32" s="10">
        <v>458</v>
      </c>
      <c r="E32" s="10">
        <v>524</v>
      </c>
      <c r="F32" s="10">
        <v>0</v>
      </c>
      <c r="G32" s="10">
        <v>982</v>
      </c>
      <c r="H32" s="10">
        <v>182</v>
      </c>
    </row>
    <row r="33" spans="1:8" x14ac:dyDescent="0.25">
      <c r="A33" s="4" t="s">
        <v>46</v>
      </c>
      <c r="B33" s="10">
        <v>1</v>
      </c>
      <c r="C33" s="10">
        <v>151</v>
      </c>
      <c r="D33" s="10">
        <v>63</v>
      </c>
      <c r="E33" s="10">
        <v>54</v>
      </c>
      <c r="F33" s="10">
        <v>0</v>
      </c>
      <c r="G33" s="10">
        <v>117</v>
      </c>
      <c r="H33" s="10">
        <v>34</v>
      </c>
    </row>
    <row r="34" spans="1:8" x14ac:dyDescent="0.25">
      <c r="A34" s="4" t="s">
        <v>47</v>
      </c>
      <c r="B34" s="10">
        <v>3</v>
      </c>
      <c r="C34" s="10">
        <v>241</v>
      </c>
      <c r="D34" s="10">
        <v>89</v>
      </c>
      <c r="E34" s="10">
        <v>135</v>
      </c>
      <c r="F34" s="10">
        <v>0</v>
      </c>
      <c r="G34" s="10">
        <v>224</v>
      </c>
      <c r="H34" s="10">
        <v>17</v>
      </c>
    </row>
    <row r="35" spans="1:8" x14ac:dyDescent="0.25">
      <c r="A35" s="4" t="s">
        <v>48</v>
      </c>
      <c r="B35" s="10">
        <v>3</v>
      </c>
      <c r="C35" s="10">
        <v>171</v>
      </c>
      <c r="D35" s="10">
        <v>65</v>
      </c>
      <c r="E35" s="10">
        <v>96</v>
      </c>
      <c r="F35" s="10">
        <v>1</v>
      </c>
      <c r="G35" s="10">
        <v>162</v>
      </c>
      <c r="H35" s="10">
        <v>9</v>
      </c>
    </row>
    <row r="36" spans="1:8" x14ac:dyDescent="0.25">
      <c r="A36" s="4" t="s">
        <v>49</v>
      </c>
      <c r="B36" s="10">
        <v>17</v>
      </c>
      <c r="C36" s="10">
        <v>630</v>
      </c>
      <c r="D36" s="10">
        <v>265</v>
      </c>
      <c r="E36" s="10">
        <v>286</v>
      </c>
      <c r="F36" s="10">
        <v>3</v>
      </c>
      <c r="G36" s="10">
        <v>554</v>
      </c>
      <c r="H36" s="10">
        <v>76</v>
      </c>
    </row>
    <row r="37" spans="1:8" x14ac:dyDescent="0.25">
      <c r="A37" s="4" t="s">
        <v>50</v>
      </c>
      <c r="B37" s="10">
        <v>2</v>
      </c>
      <c r="C37" s="10">
        <v>318</v>
      </c>
      <c r="D37" s="10">
        <v>149</v>
      </c>
      <c r="E37" s="10">
        <v>109</v>
      </c>
      <c r="F37" s="10">
        <v>0</v>
      </c>
      <c r="G37" s="10">
        <v>258</v>
      </c>
      <c r="H37" s="10">
        <v>60</v>
      </c>
    </row>
    <row r="38" spans="1:8" x14ac:dyDescent="0.25">
      <c r="A38" s="4" t="s">
        <v>51</v>
      </c>
      <c r="B38" s="10">
        <v>3</v>
      </c>
      <c r="C38" s="10">
        <v>1036</v>
      </c>
      <c r="D38" s="10">
        <v>190</v>
      </c>
      <c r="E38" s="10">
        <v>355</v>
      </c>
      <c r="F38" s="10">
        <v>1</v>
      </c>
      <c r="G38" s="10">
        <v>546</v>
      </c>
      <c r="H38" s="10">
        <v>490</v>
      </c>
    </row>
    <row r="39" spans="1:8" x14ac:dyDescent="0.25">
      <c r="A39" s="4" t="s">
        <v>52</v>
      </c>
      <c r="B39" s="10">
        <v>29</v>
      </c>
      <c r="C39" s="10">
        <v>2542</v>
      </c>
      <c r="D39" s="10">
        <v>754</v>
      </c>
      <c r="E39" s="10">
        <v>1273</v>
      </c>
      <c r="F39" s="10">
        <v>58</v>
      </c>
      <c r="G39" s="10">
        <v>2085</v>
      </c>
      <c r="H39" s="10">
        <v>457</v>
      </c>
    </row>
    <row r="40" spans="1:8" x14ac:dyDescent="0.25">
      <c r="A40" s="4" t="s">
        <v>53</v>
      </c>
      <c r="B40" s="10">
        <v>9</v>
      </c>
      <c r="C40" s="10">
        <v>1236</v>
      </c>
      <c r="D40" s="10">
        <v>547</v>
      </c>
      <c r="E40" s="10">
        <v>554</v>
      </c>
      <c r="F40" s="10">
        <v>1</v>
      </c>
      <c r="G40" s="10">
        <v>1102</v>
      </c>
      <c r="H40" s="10">
        <v>134</v>
      </c>
    </row>
    <row r="41" spans="1:8" x14ac:dyDescent="0.25">
      <c r="A41" s="4" t="s">
        <v>54</v>
      </c>
      <c r="B41" s="10">
        <v>8</v>
      </c>
      <c r="C41" s="10">
        <v>408</v>
      </c>
      <c r="D41" s="10">
        <v>182</v>
      </c>
      <c r="E41" s="10">
        <v>77</v>
      </c>
      <c r="F41" s="10">
        <v>14</v>
      </c>
      <c r="G41" s="10">
        <v>273</v>
      </c>
      <c r="H41" s="10">
        <v>135</v>
      </c>
    </row>
    <row r="42" spans="1:8" x14ac:dyDescent="0.25">
      <c r="A42" s="4" t="s">
        <v>55</v>
      </c>
      <c r="B42" s="10">
        <v>7</v>
      </c>
      <c r="C42" s="10">
        <v>1292</v>
      </c>
      <c r="D42" s="10">
        <v>353</v>
      </c>
      <c r="E42" s="10">
        <v>349</v>
      </c>
      <c r="F42" s="10">
        <v>0</v>
      </c>
      <c r="G42" s="10">
        <v>702</v>
      </c>
      <c r="H42" s="10">
        <v>590</v>
      </c>
    </row>
    <row r="43" spans="1:8" x14ac:dyDescent="0.25">
      <c r="A43" s="4" t="s">
        <v>56</v>
      </c>
      <c r="B43" s="10">
        <v>18</v>
      </c>
      <c r="C43" s="10">
        <v>1411</v>
      </c>
      <c r="D43" s="10">
        <v>503</v>
      </c>
      <c r="E43" s="10">
        <v>762</v>
      </c>
      <c r="F43" s="10">
        <v>71</v>
      </c>
      <c r="G43" s="10">
        <v>1336</v>
      </c>
      <c r="H43" s="10">
        <v>75</v>
      </c>
    </row>
    <row r="44" spans="1:8" x14ac:dyDescent="0.25">
      <c r="A44" s="4" t="s">
        <v>57</v>
      </c>
      <c r="B44" s="10">
        <v>2</v>
      </c>
      <c r="C44" s="10">
        <v>87</v>
      </c>
      <c r="D44" s="10">
        <v>7</v>
      </c>
      <c r="E44" s="10">
        <v>36</v>
      </c>
      <c r="F44" s="10">
        <v>2</v>
      </c>
      <c r="G44" s="10">
        <v>45</v>
      </c>
      <c r="H44" s="10">
        <v>42</v>
      </c>
    </row>
    <row r="45" spans="1:8" x14ac:dyDescent="0.25">
      <c r="A45" s="4" t="s">
        <v>58</v>
      </c>
      <c r="B45" s="10">
        <v>1</v>
      </c>
      <c r="C45" s="10">
        <v>108</v>
      </c>
      <c r="D45" s="10">
        <v>30</v>
      </c>
      <c r="E45" s="10">
        <v>77</v>
      </c>
      <c r="F45" s="10">
        <v>1</v>
      </c>
      <c r="G45" s="10">
        <v>108</v>
      </c>
      <c r="H45" s="10">
        <v>0</v>
      </c>
    </row>
    <row r="46" spans="1:8" x14ac:dyDescent="0.25">
      <c r="A46" s="4" t="s">
        <v>59</v>
      </c>
      <c r="B46" s="10">
        <v>4</v>
      </c>
      <c r="C46" s="10">
        <v>703</v>
      </c>
      <c r="D46" s="10">
        <v>138</v>
      </c>
      <c r="E46" s="10">
        <v>261</v>
      </c>
      <c r="F46" s="10">
        <v>0</v>
      </c>
      <c r="G46" s="10">
        <v>399</v>
      </c>
      <c r="H46" s="10">
        <v>304</v>
      </c>
    </row>
    <row r="47" spans="1:8" x14ac:dyDescent="0.25">
      <c r="A47" s="4" t="s">
        <v>60</v>
      </c>
      <c r="B47" s="10">
        <v>1</v>
      </c>
      <c r="C47" s="10">
        <v>132</v>
      </c>
      <c r="D47" s="10">
        <v>34</v>
      </c>
      <c r="E47" s="10">
        <v>94</v>
      </c>
      <c r="F47" s="10">
        <v>0</v>
      </c>
      <c r="G47" s="10">
        <v>128</v>
      </c>
      <c r="H47" s="10">
        <v>4</v>
      </c>
    </row>
    <row r="48" spans="1:8" x14ac:dyDescent="0.25">
      <c r="A48" s="4" t="s">
        <v>61</v>
      </c>
      <c r="B48" s="10">
        <v>10</v>
      </c>
      <c r="C48" s="10">
        <v>1142</v>
      </c>
      <c r="D48" s="10">
        <v>523</v>
      </c>
      <c r="E48" s="10">
        <v>397</v>
      </c>
      <c r="F48" s="10">
        <v>0</v>
      </c>
      <c r="G48" s="10">
        <v>920</v>
      </c>
      <c r="H48" s="10">
        <v>222</v>
      </c>
    </row>
    <row r="49" spans="1:8" x14ac:dyDescent="0.25">
      <c r="A49" s="4" t="s">
        <v>62</v>
      </c>
      <c r="B49" s="10">
        <v>12</v>
      </c>
      <c r="C49" s="10">
        <v>2718</v>
      </c>
      <c r="D49" s="10">
        <v>821</v>
      </c>
      <c r="E49" s="10">
        <v>748</v>
      </c>
      <c r="F49" s="10">
        <v>7</v>
      </c>
      <c r="G49" s="10">
        <v>1576</v>
      </c>
      <c r="H49" s="10">
        <v>1142</v>
      </c>
    </row>
    <row r="50" spans="1:8" x14ac:dyDescent="0.25">
      <c r="A50" s="4" t="s">
        <v>63</v>
      </c>
      <c r="B50" s="10">
        <v>3</v>
      </c>
      <c r="C50" s="10">
        <v>317</v>
      </c>
      <c r="D50" s="10">
        <v>93</v>
      </c>
      <c r="E50" s="10">
        <v>200</v>
      </c>
      <c r="F50" s="10">
        <v>0</v>
      </c>
      <c r="G50" s="10">
        <v>293</v>
      </c>
      <c r="H50" s="10">
        <v>24</v>
      </c>
    </row>
    <row r="51" spans="1:8" x14ac:dyDescent="0.25">
      <c r="A51" s="4" t="s">
        <v>64</v>
      </c>
      <c r="B51" s="10">
        <v>16</v>
      </c>
      <c r="C51" s="10">
        <v>620</v>
      </c>
      <c r="D51" s="10">
        <v>315</v>
      </c>
      <c r="E51" s="10">
        <v>210</v>
      </c>
      <c r="F51" s="10">
        <v>10</v>
      </c>
      <c r="G51" s="10">
        <v>535</v>
      </c>
      <c r="H51" s="10">
        <v>85</v>
      </c>
    </row>
    <row r="52" spans="1:8" x14ac:dyDescent="0.25">
      <c r="A52" s="4" t="s">
        <v>65</v>
      </c>
      <c r="B52" s="10">
        <v>1</v>
      </c>
      <c r="C52" s="10">
        <v>32</v>
      </c>
      <c r="D52" s="10">
        <v>1</v>
      </c>
      <c r="E52" s="10">
        <v>0</v>
      </c>
      <c r="F52" s="10">
        <v>0</v>
      </c>
      <c r="G52" s="10">
        <v>1</v>
      </c>
      <c r="H52" s="10">
        <v>31</v>
      </c>
    </row>
    <row r="53" spans="1:8" x14ac:dyDescent="0.25">
      <c r="A53" s="4" t="s">
        <v>66</v>
      </c>
      <c r="B53" s="10">
        <v>2</v>
      </c>
      <c r="C53" s="10">
        <v>120</v>
      </c>
      <c r="D53" s="10">
        <v>34</v>
      </c>
      <c r="E53" s="10">
        <v>77</v>
      </c>
      <c r="F53" s="10">
        <v>0</v>
      </c>
      <c r="G53" s="10">
        <v>111</v>
      </c>
      <c r="H53" s="10">
        <v>9</v>
      </c>
    </row>
    <row r="54" spans="1:8" x14ac:dyDescent="0.25">
      <c r="A54" s="4" t="s">
        <v>67</v>
      </c>
      <c r="B54" s="10">
        <v>7</v>
      </c>
      <c r="C54" s="10">
        <v>1433</v>
      </c>
      <c r="D54" s="10">
        <v>570</v>
      </c>
      <c r="E54" s="10">
        <v>517</v>
      </c>
      <c r="F54" s="10">
        <v>2</v>
      </c>
      <c r="G54" s="10">
        <v>1089</v>
      </c>
      <c r="H54" s="10">
        <v>344</v>
      </c>
    </row>
    <row r="55" spans="1:8" x14ac:dyDescent="0.25">
      <c r="A55" s="4" t="s">
        <v>68</v>
      </c>
      <c r="B55" s="10">
        <v>4</v>
      </c>
      <c r="C55" s="10">
        <v>520</v>
      </c>
      <c r="D55" s="10">
        <v>162</v>
      </c>
      <c r="E55" s="10">
        <v>331</v>
      </c>
      <c r="F55" s="10">
        <v>3</v>
      </c>
      <c r="G55" s="10">
        <v>496</v>
      </c>
      <c r="H55" s="10">
        <v>24</v>
      </c>
    </row>
    <row r="56" spans="1:8" x14ac:dyDescent="0.25">
      <c r="A56" s="4" t="s">
        <v>69</v>
      </c>
      <c r="B56" s="10">
        <v>4</v>
      </c>
      <c r="C56" s="10">
        <v>333</v>
      </c>
      <c r="D56" s="10">
        <v>213</v>
      </c>
      <c r="E56" s="10">
        <v>90</v>
      </c>
      <c r="F56" s="10">
        <v>0</v>
      </c>
      <c r="G56" s="10">
        <v>303</v>
      </c>
      <c r="H56" s="10">
        <v>30</v>
      </c>
    </row>
    <row r="57" spans="1:8" x14ac:dyDescent="0.25">
      <c r="A57" s="4" t="s">
        <v>70</v>
      </c>
      <c r="B57" s="10">
        <v>1</v>
      </c>
      <c r="C57" s="10">
        <v>116</v>
      </c>
      <c r="D57" s="10">
        <v>38</v>
      </c>
      <c r="E57" s="10">
        <v>57</v>
      </c>
      <c r="F57" s="10">
        <v>0</v>
      </c>
      <c r="G57" s="10">
        <v>95</v>
      </c>
      <c r="H57" s="10">
        <v>21</v>
      </c>
    </row>
    <row r="58" spans="1:8" x14ac:dyDescent="0.25">
      <c r="A58" s="6" t="s">
        <v>71</v>
      </c>
      <c r="B58" s="11">
        <v>414</v>
      </c>
      <c r="C58" s="11">
        <v>49689</v>
      </c>
      <c r="D58" s="11">
        <v>13599</v>
      </c>
      <c r="E58" s="11">
        <v>18246</v>
      </c>
      <c r="F58" s="11">
        <v>274</v>
      </c>
      <c r="G58" s="11">
        <v>32119</v>
      </c>
      <c r="H58" s="11">
        <v>17570</v>
      </c>
    </row>
    <row r="59" spans="1:8" ht="14.1" customHeight="1" x14ac:dyDescent="0.25">
      <c r="A59" s="8"/>
    </row>
  </sheetData>
  <pageMargins left="0.08" right="0.08" top="1" bottom="1" header="0.5" footer="0.5"/>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DC848-33A0-4263-BBA6-2494B6F5C3D0}">
  <dimension ref="A1:E59"/>
  <sheetViews>
    <sheetView workbookViewId="0"/>
  </sheetViews>
  <sheetFormatPr defaultRowHeight="15" x14ac:dyDescent="0.25"/>
  <cols>
    <col min="1" max="1" width="11.42578125" style="1" bestFit="1" customWidth="1"/>
    <col min="2" max="5" width="17.140625" style="1" bestFit="1" customWidth="1"/>
    <col min="6" max="16384" width="9.140625" style="1"/>
  </cols>
  <sheetData>
    <row r="1" spans="1:5" ht="39" x14ac:dyDescent="0.25">
      <c r="A1" s="2" t="s">
        <v>72</v>
      </c>
      <c r="B1" s="9" t="s">
        <v>73</v>
      </c>
      <c r="C1" s="9" t="s">
        <v>140</v>
      </c>
      <c r="D1" s="9" t="s">
        <v>141</v>
      </c>
      <c r="E1" s="9" t="s">
        <v>142</v>
      </c>
    </row>
    <row r="2" spans="1:5" x14ac:dyDescent="0.25">
      <c r="A2" s="4" t="s">
        <v>14</v>
      </c>
      <c r="B2" s="10">
        <v>2</v>
      </c>
      <c r="C2" s="10">
        <v>210</v>
      </c>
      <c r="D2" s="10">
        <v>188</v>
      </c>
      <c r="E2" s="10">
        <v>22</v>
      </c>
    </row>
    <row r="3" spans="1:5" x14ac:dyDescent="0.25">
      <c r="A3" s="4" t="s">
        <v>15</v>
      </c>
      <c r="B3" s="10">
        <v>8</v>
      </c>
      <c r="C3" s="10">
        <v>511</v>
      </c>
      <c r="D3" s="10">
        <v>363</v>
      </c>
      <c r="E3" s="10">
        <v>148</v>
      </c>
    </row>
    <row r="4" spans="1:5" x14ac:dyDescent="0.25">
      <c r="A4" s="4" t="s">
        <v>16</v>
      </c>
      <c r="B4" s="10">
        <v>6</v>
      </c>
      <c r="C4" s="10">
        <v>462</v>
      </c>
      <c r="D4" s="10">
        <v>326</v>
      </c>
      <c r="E4" s="10">
        <v>136</v>
      </c>
    </row>
    <row r="5" spans="1:5" x14ac:dyDescent="0.25">
      <c r="A5" s="4" t="s">
        <v>17</v>
      </c>
      <c r="B5" s="10">
        <v>0</v>
      </c>
      <c r="C5" s="10" t="s">
        <v>18</v>
      </c>
      <c r="D5" s="10" t="s">
        <v>18</v>
      </c>
      <c r="E5" s="10" t="s">
        <v>18</v>
      </c>
    </row>
    <row r="6" spans="1:5" x14ac:dyDescent="0.25">
      <c r="A6" s="4" t="s">
        <v>19</v>
      </c>
      <c r="B6" s="10">
        <v>3</v>
      </c>
      <c r="C6" s="10">
        <v>1222</v>
      </c>
      <c r="D6" s="10">
        <v>901</v>
      </c>
      <c r="E6" s="10">
        <v>321</v>
      </c>
    </row>
    <row r="7" spans="1:5" x14ac:dyDescent="0.25">
      <c r="A7" s="4" t="s">
        <v>20</v>
      </c>
      <c r="B7" s="10">
        <v>40</v>
      </c>
      <c r="C7" s="10">
        <v>12895</v>
      </c>
      <c r="D7" s="10">
        <v>4886</v>
      </c>
      <c r="E7" s="10">
        <v>8009</v>
      </c>
    </row>
    <row r="8" spans="1:5" x14ac:dyDescent="0.25">
      <c r="A8" s="4" t="s">
        <v>21</v>
      </c>
      <c r="B8" s="10">
        <v>3</v>
      </c>
      <c r="C8" s="10">
        <v>685</v>
      </c>
      <c r="D8" s="10">
        <v>452</v>
      </c>
      <c r="E8" s="10">
        <v>233</v>
      </c>
    </row>
    <row r="9" spans="1:5" x14ac:dyDescent="0.25">
      <c r="A9" s="4" t="s">
        <v>22</v>
      </c>
      <c r="B9" s="10">
        <v>6</v>
      </c>
      <c r="C9" s="10">
        <v>341</v>
      </c>
      <c r="D9" s="10">
        <v>267</v>
      </c>
      <c r="E9" s="10">
        <v>74</v>
      </c>
    </row>
    <row r="10" spans="1:5" x14ac:dyDescent="0.25">
      <c r="A10" s="4" t="s">
        <v>23</v>
      </c>
      <c r="B10" s="10">
        <v>1</v>
      </c>
      <c r="C10" s="10">
        <v>499</v>
      </c>
      <c r="D10" s="10">
        <v>435</v>
      </c>
      <c r="E10" s="10">
        <v>64</v>
      </c>
    </row>
    <row r="11" spans="1:5" x14ac:dyDescent="0.25">
      <c r="A11" s="4" t="s">
        <v>24</v>
      </c>
      <c r="B11" s="10">
        <v>1</v>
      </c>
      <c r="C11" s="10">
        <v>89</v>
      </c>
      <c r="D11" s="10">
        <v>86</v>
      </c>
      <c r="E11" s="10">
        <v>3</v>
      </c>
    </row>
    <row r="12" spans="1:5" x14ac:dyDescent="0.25">
      <c r="A12" s="4" t="s">
        <v>25</v>
      </c>
      <c r="B12" s="10">
        <v>28</v>
      </c>
      <c r="C12" s="10">
        <v>5505</v>
      </c>
      <c r="D12" s="10">
        <v>2328</v>
      </c>
      <c r="E12" s="10">
        <v>3177</v>
      </c>
    </row>
    <row r="13" spans="1:5" x14ac:dyDescent="0.25">
      <c r="A13" s="4" t="s">
        <v>26</v>
      </c>
      <c r="B13" s="10">
        <v>9</v>
      </c>
      <c r="C13" s="10">
        <v>1805</v>
      </c>
      <c r="D13" s="10">
        <v>900</v>
      </c>
      <c r="E13" s="10">
        <v>905</v>
      </c>
    </row>
    <row r="14" spans="1:5" x14ac:dyDescent="0.25">
      <c r="A14" s="4" t="s">
        <v>27</v>
      </c>
      <c r="B14" s="10">
        <v>1</v>
      </c>
      <c r="C14" s="10">
        <v>32</v>
      </c>
      <c r="D14" s="10">
        <v>2</v>
      </c>
      <c r="E14" s="10">
        <v>30</v>
      </c>
    </row>
    <row r="15" spans="1:5" x14ac:dyDescent="0.25">
      <c r="A15" s="4" t="s">
        <v>28</v>
      </c>
      <c r="B15" s="10">
        <v>2</v>
      </c>
      <c r="C15" s="10">
        <v>558</v>
      </c>
      <c r="D15" s="10">
        <v>234</v>
      </c>
      <c r="E15" s="10">
        <v>324</v>
      </c>
    </row>
    <row r="16" spans="1:5" x14ac:dyDescent="0.25">
      <c r="A16" s="4" t="s">
        <v>29</v>
      </c>
      <c r="B16" s="10">
        <v>3</v>
      </c>
      <c r="C16" s="10">
        <v>229</v>
      </c>
      <c r="D16" s="10">
        <v>220</v>
      </c>
      <c r="E16" s="10">
        <v>9</v>
      </c>
    </row>
    <row r="17" spans="1:5" x14ac:dyDescent="0.25">
      <c r="A17" s="4" t="s">
        <v>30</v>
      </c>
      <c r="B17" s="10">
        <v>2</v>
      </c>
      <c r="C17" s="10">
        <v>208</v>
      </c>
      <c r="D17" s="10">
        <v>162</v>
      </c>
      <c r="E17" s="10">
        <v>46</v>
      </c>
    </row>
    <row r="18" spans="1:5" x14ac:dyDescent="0.25">
      <c r="A18" s="4" t="s">
        <v>31</v>
      </c>
      <c r="B18" s="10">
        <v>20</v>
      </c>
      <c r="C18" s="10">
        <v>1267</v>
      </c>
      <c r="D18" s="10">
        <v>882</v>
      </c>
      <c r="E18" s="10">
        <v>385</v>
      </c>
    </row>
    <row r="19" spans="1:5" x14ac:dyDescent="0.25">
      <c r="A19" s="4" t="s">
        <v>32</v>
      </c>
      <c r="B19" s="10">
        <v>3</v>
      </c>
      <c r="C19" s="10">
        <v>743</v>
      </c>
      <c r="D19" s="10">
        <v>666</v>
      </c>
      <c r="E19" s="10">
        <v>77</v>
      </c>
    </row>
    <row r="20" spans="1:5" x14ac:dyDescent="0.25">
      <c r="A20" s="4" t="s">
        <v>33</v>
      </c>
      <c r="B20" s="10">
        <v>5</v>
      </c>
      <c r="C20" s="10">
        <v>414</v>
      </c>
      <c r="D20" s="10">
        <v>384</v>
      </c>
      <c r="E20" s="10">
        <v>30</v>
      </c>
    </row>
    <row r="21" spans="1:5" x14ac:dyDescent="0.25">
      <c r="A21" s="4" t="s">
        <v>34</v>
      </c>
      <c r="B21" s="10">
        <v>3</v>
      </c>
      <c r="C21" s="10">
        <v>607</v>
      </c>
      <c r="D21" s="10">
        <v>510</v>
      </c>
      <c r="E21" s="10">
        <v>97</v>
      </c>
    </row>
    <row r="22" spans="1:5" x14ac:dyDescent="0.25">
      <c r="A22" s="4" t="s">
        <v>35</v>
      </c>
      <c r="B22" s="10">
        <v>9</v>
      </c>
      <c r="C22" s="10">
        <v>575</v>
      </c>
      <c r="D22" s="10">
        <v>383</v>
      </c>
      <c r="E22" s="10">
        <v>192</v>
      </c>
    </row>
    <row r="23" spans="1:5" x14ac:dyDescent="0.25">
      <c r="A23" s="4" t="s">
        <v>36</v>
      </c>
      <c r="B23" s="10">
        <v>18</v>
      </c>
      <c r="C23" s="10">
        <v>1253</v>
      </c>
      <c r="D23" s="10">
        <v>1204</v>
      </c>
      <c r="E23" s="10">
        <v>49</v>
      </c>
    </row>
    <row r="24" spans="1:5" x14ac:dyDescent="0.25">
      <c r="A24" s="4" t="s">
        <v>37</v>
      </c>
      <c r="B24" s="10">
        <v>16</v>
      </c>
      <c r="C24" s="10">
        <v>673</v>
      </c>
      <c r="D24" s="10">
        <v>563</v>
      </c>
      <c r="E24" s="10">
        <v>110</v>
      </c>
    </row>
    <row r="25" spans="1:5" x14ac:dyDescent="0.25">
      <c r="A25" s="4" t="s">
        <v>38</v>
      </c>
      <c r="B25" s="10">
        <v>2</v>
      </c>
      <c r="C25" s="10">
        <v>164</v>
      </c>
      <c r="D25" s="10">
        <v>150</v>
      </c>
      <c r="E25" s="10">
        <v>14</v>
      </c>
    </row>
    <row r="26" spans="1:5" x14ac:dyDescent="0.25">
      <c r="A26" s="4" t="s">
        <v>39</v>
      </c>
      <c r="B26" s="10">
        <v>21</v>
      </c>
      <c r="C26" s="10">
        <v>1100</v>
      </c>
      <c r="D26" s="10">
        <v>945</v>
      </c>
      <c r="E26" s="10">
        <v>155</v>
      </c>
    </row>
    <row r="27" spans="1:5" x14ac:dyDescent="0.25">
      <c r="A27" s="4" t="s">
        <v>40</v>
      </c>
      <c r="B27" s="10">
        <v>10</v>
      </c>
      <c r="C27" s="10">
        <v>349</v>
      </c>
      <c r="D27" s="10">
        <v>286</v>
      </c>
      <c r="E27" s="10">
        <v>63</v>
      </c>
    </row>
    <row r="28" spans="1:5" x14ac:dyDescent="0.25">
      <c r="A28" s="4" t="s">
        <v>41</v>
      </c>
      <c r="B28" s="10">
        <v>8</v>
      </c>
      <c r="C28" s="10">
        <v>843</v>
      </c>
      <c r="D28" s="10">
        <v>667</v>
      </c>
      <c r="E28" s="10">
        <v>176</v>
      </c>
    </row>
    <row r="29" spans="1:5" x14ac:dyDescent="0.25">
      <c r="A29" s="4" t="s">
        <v>42</v>
      </c>
      <c r="B29" s="10">
        <v>0</v>
      </c>
      <c r="C29" s="10" t="s">
        <v>18</v>
      </c>
      <c r="D29" s="10" t="s">
        <v>18</v>
      </c>
      <c r="E29" s="10" t="s">
        <v>18</v>
      </c>
    </row>
    <row r="30" spans="1:5" x14ac:dyDescent="0.25">
      <c r="A30" s="4" t="s">
        <v>43</v>
      </c>
      <c r="B30" s="10">
        <v>3</v>
      </c>
      <c r="C30" s="10">
        <v>210</v>
      </c>
      <c r="D30" s="10">
        <v>129</v>
      </c>
      <c r="E30" s="10">
        <v>81</v>
      </c>
    </row>
    <row r="31" spans="1:5" x14ac:dyDescent="0.25">
      <c r="A31" s="4" t="s">
        <v>44</v>
      </c>
      <c r="B31" s="10">
        <v>1</v>
      </c>
      <c r="C31" s="10">
        <v>309</v>
      </c>
      <c r="D31" s="10">
        <v>118</v>
      </c>
      <c r="E31" s="10">
        <v>191</v>
      </c>
    </row>
    <row r="32" spans="1:5" x14ac:dyDescent="0.25">
      <c r="A32" s="4" t="s">
        <v>45</v>
      </c>
      <c r="B32" s="10">
        <v>12</v>
      </c>
      <c r="C32" s="10">
        <v>1123</v>
      </c>
      <c r="D32" s="10">
        <v>934</v>
      </c>
      <c r="E32" s="10">
        <v>189</v>
      </c>
    </row>
    <row r="33" spans="1:5" x14ac:dyDescent="0.25">
      <c r="A33" s="4" t="s">
        <v>46</v>
      </c>
      <c r="B33" s="10">
        <v>1</v>
      </c>
      <c r="C33" s="10">
        <v>241</v>
      </c>
      <c r="D33" s="10">
        <v>60</v>
      </c>
      <c r="E33" s="10">
        <v>181</v>
      </c>
    </row>
    <row r="34" spans="1:5" x14ac:dyDescent="0.25">
      <c r="A34" s="4" t="s">
        <v>47</v>
      </c>
      <c r="B34" s="10">
        <v>3</v>
      </c>
      <c r="C34" s="10">
        <v>183</v>
      </c>
      <c r="D34" s="10">
        <v>161</v>
      </c>
      <c r="E34" s="10">
        <v>22</v>
      </c>
    </row>
    <row r="35" spans="1:5" x14ac:dyDescent="0.25">
      <c r="A35" s="4" t="s">
        <v>48</v>
      </c>
      <c r="B35" s="10">
        <v>3</v>
      </c>
      <c r="C35" s="10">
        <v>125</v>
      </c>
      <c r="D35" s="10">
        <v>112</v>
      </c>
      <c r="E35" s="10">
        <v>13</v>
      </c>
    </row>
    <row r="36" spans="1:5" x14ac:dyDescent="0.25">
      <c r="A36" s="4" t="s">
        <v>49</v>
      </c>
      <c r="B36" s="10">
        <v>17</v>
      </c>
      <c r="C36" s="10">
        <v>540</v>
      </c>
      <c r="D36" s="10">
        <v>420</v>
      </c>
      <c r="E36" s="10">
        <v>120</v>
      </c>
    </row>
    <row r="37" spans="1:5" x14ac:dyDescent="0.25">
      <c r="A37" s="4" t="s">
        <v>50</v>
      </c>
      <c r="B37" s="10">
        <v>2</v>
      </c>
      <c r="C37" s="10">
        <v>243</v>
      </c>
      <c r="D37" s="10">
        <v>183</v>
      </c>
      <c r="E37" s="10">
        <v>60</v>
      </c>
    </row>
    <row r="38" spans="1:5" x14ac:dyDescent="0.25">
      <c r="A38" s="4" t="s">
        <v>51</v>
      </c>
      <c r="B38" s="10">
        <v>3</v>
      </c>
      <c r="C38" s="10">
        <v>790</v>
      </c>
      <c r="D38" s="10">
        <v>477</v>
      </c>
      <c r="E38" s="10">
        <v>313</v>
      </c>
    </row>
    <row r="39" spans="1:5" x14ac:dyDescent="0.25">
      <c r="A39" s="4" t="s">
        <v>52</v>
      </c>
      <c r="B39" s="10">
        <v>30</v>
      </c>
      <c r="C39" s="10">
        <v>4659</v>
      </c>
      <c r="D39" s="10">
        <v>4201</v>
      </c>
      <c r="E39" s="10">
        <v>458</v>
      </c>
    </row>
    <row r="40" spans="1:5" x14ac:dyDescent="0.25">
      <c r="A40" s="4" t="s">
        <v>53</v>
      </c>
      <c r="B40" s="10">
        <v>9</v>
      </c>
      <c r="C40" s="10">
        <v>1212</v>
      </c>
      <c r="D40" s="10">
        <v>1050</v>
      </c>
      <c r="E40" s="10">
        <v>162</v>
      </c>
    </row>
    <row r="41" spans="1:5" x14ac:dyDescent="0.25">
      <c r="A41" s="4" t="s">
        <v>54</v>
      </c>
      <c r="B41" s="10">
        <v>8</v>
      </c>
      <c r="C41" s="10">
        <v>437</v>
      </c>
      <c r="D41" s="10">
        <v>338</v>
      </c>
      <c r="E41" s="10">
        <v>99</v>
      </c>
    </row>
    <row r="42" spans="1:5" x14ac:dyDescent="0.25">
      <c r="A42" s="4" t="s">
        <v>55</v>
      </c>
      <c r="B42" s="10">
        <v>7</v>
      </c>
      <c r="C42" s="10">
        <v>1494</v>
      </c>
      <c r="D42" s="10">
        <v>709</v>
      </c>
      <c r="E42" s="10">
        <v>785</v>
      </c>
    </row>
    <row r="43" spans="1:5" x14ac:dyDescent="0.25">
      <c r="A43" s="4" t="s">
        <v>56</v>
      </c>
      <c r="B43" s="10">
        <v>18</v>
      </c>
      <c r="C43" s="10">
        <v>1462</v>
      </c>
      <c r="D43" s="10">
        <v>1290</v>
      </c>
      <c r="E43" s="10">
        <v>172</v>
      </c>
    </row>
    <row r="44" spans="1:5" x14ac:dyDescent="0.25">
      <c r="A44" s="4" t="s">
        <v>57</v>
      </c>
      <c r="B44" s="10">
        <v>2</v>
      </c>
      <c r="C44" s="10">
        <v>82</v>
      </c>
      <c r="D44" s="10">
        <v>40</v>
      </c>
      <c r="E44" s="10">
        <v>42</v>
      </c>
    </row>
    <row r="45" spans="1:5" x14ac:dyDescent="0.25">
      <c r="A45" s="4" t="s">
        <v>58</v>
      </c>
      <c r="B45" s="10">
        <v>1</v>
      </c>
      <c r="C45" s="10">
        <v>97</v>
      </c>
      <c r="D45" s="10">
        <v>95</v>
      </c>
      <c r="E45" s="10">
        <v>2</v>
      </c>
    </row>
    <row r="46" spans="1:5" x14ac:dyDescent="0.25">
      <c r="A46" s="4" t="s">
        <v>59</v>
      </c>
      <c r="B46" s="10">
        <v>4</v>
      </c>
      <c r="C46" s="10">
        <v>636</v>
      </c>
      <c r="D46" s="10">
        <v>345</v>
      </c>
      <c r="E46" s="10">
        <v>291</v>
      </c>
    </row>
    <row r="47" spans="1:5" x14ac:dyDescent="0.25">
      <c r="A47" s="4" t="s">
        <v>60</v>
      </c>
      <c r="B47" s="10">
        <v>1</v>
      </c>
      <c r="C47" s="10">
        <v>125</v>
      </c>
      <c r="D47" s="10">
        <v>106</v>
      </c>
      <c r="E47" s="10">
        <v>19</v>
      </c>
    </row>
    <row r="48" spans="1:5" x14ac:dyDescent="0.25">
      <c r="A48" s="4" t="s">
        <v>61</v>
      </c>
      <c r="B48" s="10">
        <v>10</v>
      </c>
      <c r="C48" s="10">
        <v>991</v>
      </c>
      <c r="D48" s="10">
        <v>728</v>
      </c>
      <c r="E48" s="10">
        <v>263</v>
      </c>
    </row>
    <row r="49" spans="1:5" x14ac:dyDescent="0.25">
      <c r="A49" s="4" t="s">
        <v>62</v>
      </c>
      <c r="B49" s="10">
        <v>12</v>
      </c>
      <c r="C49" s="10">
        <v>3878</v>
      </c>
      <c r="D49" s="10">
        <v>2007</v>
      </c>
      <c r="E49" s="10">
        <v>1871</v>
      </c>
    </row>
    <row r="50" spans="1:5" x14ac:dyDescent="0.25">
      <c r="A50" s="4" t="s">
        <v>63</v>
      </c>
      <c r="B50" s="10">
        <v>3</v>
      </c>
      <c r="C50" s="10">
        <v>327</v>
      </c>
      <c r="D50" s="10">
        <v>290</v>
      </c>
      <c r="E50" s="10">
        <v>37</v>
      </c>
    </row>
    <row r="51" spans="1:5" x14ac:dyDescent="0.25">
      <c r="A51" s="4" t="s">
        <v>64</v>
      </c>
      <c r="B51" s="10">
        <v>16</v>
      </c>
      <c r="C51" s="10">
        <v>719</v>
      </c>
      <c r="D51" s="10">
        <v>625</v>
      </c>
      <c r="E51" s="10">
        <v>94</v>
      </c>
    </row>
    <row r="52" spans="1:5" x14ac:dyDescent="0.25">
      <c r="A52" s="4" t="s">
        <v>65</v>
      </c>
      <c r="B52" s="10">
        <v>1</v>
      </c>
      <c r="C52" s="10">
        <v>33</v>
      </c>
      <c r="D52" s="10">
        <v>2</v>
      </c>
      <c r="E52" s="10">
        <v>31</v>
      </c>
    </row>
    <row r="53" spans="1:5" x14ac:dyDescent="0.25">
      <c r="A53" s="4" t="s">
        <v>66</v>
      </c>
      <c r="B53" s="10">
        <v>2</v>
      </c>
      <c r="C53" s="10">
        <v>128</v>
      </c>
      <c r="D53" s="10">
        <v>111</v>
      </c>
      <c r="E53" s="10">
        <v>17</v>
      </c>
    </row>
    <row r="54" spans="1:5" x14ac:dyDescent="0.25">
      <c r="A54" s="4" t="s">
        <v>67</v>
      </c>
      <c r="B54" s="10">
        <v>7</v>
      </c>
      <c r="C54" s="10">
        <v>1318</v>
      </c>
      <c r="D54" s="10">
        <v>1058</v>
      </c>
      <c r="E54" s="10">
        <v>260</v>
      </c>
    </row>
    <row r="55" spans="1:5" x14ac:dyDescent="0.25">
      <c r="A55" s="4" t="s">
        <v>68</v>
      </c>
      <c r="B55" s="10">
        <v>4</v>
      </c>
      <c r="C55" s="10">
        <v>552</v>
      </c>
      <c r="D55" s="10">
        <v>528</v>
      </c>
      <c r="E55" s="10">
        <v>24</v>
      </c>
    </row>
    <row r="56" spans="1:5" x14ac:dyDescent="0.25">
      <c r="A56" s="4" t="s">
        <v>69</v>
      </c>
      <c r="B56" s="10">
        <v>4</v>
      </c>
      <c r="C56" s="10">
        <v>329</v>
      </c>
      <c r="D56" s="10">
        <v>292</v>
      </c>
      <c r="E56" s="10">
        <v>37</v>
      </c>
    </row>
    <row r="57" spans="1:5" x14ac:dyDescent="0.25">
      <c r="A57" s="4" t="s">
        <v>70</v>
      </c>
      <c r="B57" s="10">
        <v>1</v>
      </c>
      <c r="C57" s="10">
        <v>137</v>
      </c>
      <c r="D57" s="10">
        <v>110</v>
      </c>
      <c r="E57" s="10">
        <v>27</v>
      </c>
    </row>
    <row r="58" spans="1:5" x14ac:dyDescent="0.25">
      <c r="A58" s="6" t="s">
        <v>71</v>
      </c>
      <c r="B58" s="11">
        <v>415</v>
      </c>
      <c r="C58" s="11">
        <v>55619</v>
      </c>
      <c r="D58" s="11">
        <v>34909</v>
      </c>
      <c r="E58" s="11">
        <v>20710</v>
      </c>
    </row>
    <row r="59" spans="1:5" ht="14.1" customHeight="1" x14ac:dyDescent="0.25">
      <c r="A59" s="8"/>
    </row>
  </sheetData>
  <pageMargins left="0.08" right="0.08" top="1" bottom="1" header="0.5" footer="0.5"/>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25071-653E-42C9-BC98-0E23B8B0B28D}">
  <dimension ref="A1:E59"/>
  <sheetViews>
    <sheetView workbookViewId="0"/>
  </sheetViews>
  <sheetFormatPr defaultRowHeight="15" x14ac:dyDescent="0.25"/>
  <cols>
    <col min="1" max="1" width="11.42578125" style="1" bestFit="1" customWidth="1"/>
    <col min="2" max="5" width="17.140625" style="1" bestFit="1" customWidth="1"/>
    <col min="6" max="16384" width="9.140625" style="1"/>
  </cols>
  <sheetData>
    <row r="1" spans="1:5" ht="39" x14ac:dyDescent="0.25">
      <c r="A1" s="2" t="s">
        <v>72</v>
      </c>
      <c r="B1" s="9" t="s">
        <v>73</v>
      </c>
      <c r="C1" s="9" t="s">
        <v>143</v>
      </c>
      <c r="D1" s="9" t="s">
        <v>144</v>
      </c>
      <c r="E1" s="9" t="s">
        <v>145</v>
      </c>
    </row>
    <row r="2" spans="1:5" x14ac:dyDescent="0.25">
      <c r="A2" s="4" t="s">
        <v>14</v>
      </c>
      <c r="B2" s="10">
        <v>2</v>
      </c>
      <c r="C2" s="10">
        <v>256</v>
      </c>
      <c r="D2" s="10">
        <v>227</v>
      </c>
      <c r="E2" s="10">
        <v>29</v>
      </c>
    </row>
    <row r="3" spans="1:5" x14ac:dyDescent="0.25">
      <c r="A3" s="4" t="s">
        <v>15</v>
      </c>
      <c r="B3" s="10">
        <v>8</v>
      </c>
      <c r="C3" s="10">
        <v>526</v>
      </c>
      <c r="D3" s="10">
        <v>377</v>
      </c>
      <c r="E3" s="10">
        <v>149</v>
      </c>
    </row>
    <row r="4" spans="1:5" x14ac:dyDescent="0.25">
      <c r="A4" s="4" t="s">
        <v>16</v>
      </c>
      <c r="B4" s="10">
        <v>6</v>
      </c>
      <c r="C4" s="10">
        <v>362</v>
      </c>
      <c r="D4" s="10">
        <v>205</v>
      </c>
      <c r="E4" s="10">
        <v>157</v>
      </c>
    </row>
    <row r="5" spans="1:5" x14ac:dyDescent="0.25">
      <c r="A5" s="4" t="s">
        <v>17</v>
      </c>
      <c r="B5" s="10">
        <v>0</v>
      </c>
      <c r="C5" s="10" t="s">
        <v>18</v>
      </c>
      <c r="D5" s="10" t="s">
        <v>18</v>
      </c>
      <c r="E5" s="10" t="s">
        <v>18</v>
      </c>
    </row>
    <row r="6" spans="1:5" x14ac:dyDescent="0.25">
      <c r="A6" s="4" t="s">
        <v>19</v>
      </c>
      <c r="B6" s="10">
        <v>3</v>
      </c>
      <c r="C6" s="10">
        <v>1478</v>
      </c>
      <c r="D6" s="10">
        <v>1007</v>
      </c>
      <c r="E6" s="10">
        <v>471</v>
      </c>
    </row>
    <row r="7" spans="1:5" x14ac:dyDescent="0.25">
      <c r="A7" s="4" t="s">
        <v>20</v>
      </c>
      <c r="B7" s="10">
        <v>42</v>
      </c>
      <c r="C7" s="10">
        <v>14611</v>
      </c>
      <c r="D7" s="10">
        <v>4512</v>
      </c>
      <c r="E7" s="10">
        <v>10099</v>
      </c>
    </row>
    <row r="8" spans="1:5" x14ac:dyDescent="0.25">
      <c r="A8" s="4" t="s">
        <v>21</v>
      </c>
      <c r="B8" s="10">
        <v>3</v>
      </c>
      <c r="C8" s="10">
        <v>1512</v>
      </c>
      <c r="D8" s="10">
        <v>800</v>
      </c>
      <c r="E8" s="10">
        <v>712</v>
      </c>
    </row>
    <row r="9" spans="1:5" x14ac:dyDescent="0.25">
      <c r="A9" s="4" t="s">
        <v>22</v>
      </c>
      <c r="B9" s="10">
        <v>7</v>
      </c>
      <c r="C9" s="10">
        <v>332</v>
      </c>
      <c r="D9" s="10">
        <v>285</v>
      </c>
      <c r="E9" s="10">
        <v>47</v>
      </c>
    </row>
    <row r="10" spans="1:5" x14ac:dyDescent="0.25">
      <c r="A10" s="4" t="s">
        <v>23</v>
      </c>
      <c r="B10" s="10">
        <v>1</v>
      </c>
      <c r="C10" s="10">
        <v>531</v>
      </c>
      <c r="D10" s="10">
        <v>466</v>
      </c>
      <c r="E10" s="10">
        <v>65</v>
      </c>
    </row>
    <row r="11" spans="1:5" x14ac:dyDescent="0.25">
      <c r="A11" s="4" t="s">
        <v>24</v>
      </c>
      <c r="B11" s="10">
        <v>1</v>
      </c>
      <c r="C11" s="10">
        <v>66</v>
      </c>
      <c r="D11" s="10">
        <v>64</v>
      </c>
      <c r="E11" s="10">
        <v>2</v>
      </c>
    </row>
    <row r="12" spans="1:5" x14ac:dyDescent="0.25">
      <c r="A12" s="4" t="s">
        <v>25</v>
      </c>
      <c r="B12" s="10">
        <v>28</v>
      </c>
      <c r="C12" s="10">
        <v>5331</v>
      </c>
      <c r="D12" s="10">
        <v>2201</v>
      </c>
      <c r="E12" s="10">
        <v>3130</v>
      </c>
    </row>
    <row r="13" spans="1:5" x14ac:dyDescent="0.25">
      <c r="A13" s="4" t="s">
        <v>26</v>
      </c>
      <c r="B13" s="10">
        <v>7</v>
      </c>
      <c r="C13" s="10">
        <v>2297</v>
      </c>
      <c r="D13" s="10">
        <v>1094</v>
      </c>
      <c r="E13" s="10">
        <v>1203</v>
      </c>
    </row>
    <row r="14" spans="1:5" x14ac:dyDescent="0.25">
      <c r="A14" s="4" t="s">
        <v>27</v>
      </c>
      <c r="B14" s="10">
        <v>1</v>
      </c>
      <c r="C14" s="10">
        <v>31</v>
      </c>
      <c r="D14" s="10">
        <v>6</v>
      </c>
      <c r="E14" s="10">
        <v>25</v>
      </c>
    </row>
    <row r="15" spans="1:5" x14ac:dyDescent="0.25">
      <c r="A15" s="4" t="s">
        <v>28</v>
      </c>
      <c r="B15" s="10">
        <v>2</v>
      </c>
      <c r="C15" s="10">
        <v>507</v>
      </c>
      <c r="D15" s="10">
        <v>230</v>
      </c>
      <c r="E15" s="10">
        <v>277</v>
      </c>
    </row>
    <row r="16" spans="1:5" x14ac:dyDescent="0.25">
      <c r="A16" s="4" t="s">
        <v>29</v>
      </c>
      <c r="B16" s="10">
        <v>3</v>
      </c>
      <c r="C16" s="10">
        <v>217</v>
      </c>
      <c r="D16" s="10">
        <v>205</v>
      </c>
      <c r="E16" s="10">
        <v>12</v>
      </c>
    </row>
    <row r="17" spans="1:5" x14ac:dyDescent="0.25">
      <c r="A17" s="4" t="s">
        <v>30</v>
      </c>
      <c r="B17" s="10">
        <v>2</v>
      </c>
      <c r="C17" s="10">
        <v>260</v>
      </c>
      <c r="D17" s="10">
        <v>184</v>
      </c>
      <c r="E17" s="10">
        <v>76</v>
      </c>
    </row>
    <row r="18" spans="1:5" x14ac:dyDescent="0.25">
      <c r="A18" s="4" t="s">
        <v>31</v>
      </c>
      <c r="B18" s="10">
        <v>20</v>
      </c>
      <c r="C18" s="10">
        <v>1147</v>
      </c>
      <c r="D18" s="10">
        <v>813</v>
      </c>
      <c r="E18" s="10">
        <v>334</v>
      </c>
    </row>
    <row r="19" spans="1:5" x14ac:dyDescent="0.25">
      <c r="A19" s="4" t="s">
        <v>32</v>
      </c>
      <c r="B19" s="10">
        <v>3</v>
      </c>
      <c r="C19" s="10">
        <v>687</v>
      </c>
      <c r="D19" s="10">
        <v>547</v>
      </c>
      <c r="E19" s="10">
        <v>140</v>
      </c>
    </row>
    <row r="20" spans="1:5" x14ac:dyDescent="0.25">
      <c r="A20" s="4" t="s">
        <v>33</v>
      </c>
      <c r="B20" s="10">
        <v>5</v>
      </c>
      <c r="C20" s="10">
        <v>373</v>
      </c>
      <c r="D20" s="10">
        <v>329</v>
      </c>
      <c r="E20" s="10">
        <v>44</v>
      </c>
    </row>
    <row r="21" spans="1:5" x14ac:dyDescent="0.25">
      <c r="A21" s="4" t="s">
        <v>34</v>
      </c>
      <c r="B21" s="10">
        <v>3</v>
      </c>
      <c r="C21" s="10">
        <v>440</v>
      </c>
      <c r="D21" s="10">
        <v>369</v>
      </c>
      <c r="E21" s="10">
        <v>71</v>
      </c>
    </row>
    <row r="22" spans="1:5" x14ac:dyDescent="0.25">
      <c r="A22" s="4" t="s">
        <v>35</v>
      </c>
      <c r="B22" s="10">
        <v>9</v>
      </c>
      <c r="C22" s="10">
        <v>899</v>
      </c>
      <c r="D22" s="10">
        <v>450</v>
      </c>
      <c r="E22" s="10">
        <v>449</v>
      </c>
    </row>
    <row r="23" spans="1:5" x14ac:dyDescent="0.25">
      <c r="A23" s="4" t="s">
        <v>36</v>
      </c>
      <c r="B23" s="10">
        <v>19</v>
      </c>
      <c r="C23" s="10">
        <v>1181</v>
      </c>
      <c r="D23" s="10">
        <v>1126</v>
      </c>
      <c r="E23" s="10">
        <v>55</v>
      </c>
    </row>
    <row r="24" spans="1:5" x14ac:dyDescent="0.25">
      <c r="A24" s="4" t="s">
        <v>37</v>
      </c>
      <c r="B24" s="10">
        <v>16</v>
      </c>
      <c r="C24" s="10">
        <v>617</v>
      </c>
      <c r="D24" s="10">
        <v>513</v>
      </c>
      <c r="E24" s="10">
        <v>104</v>
      </c>
    </row>
    <row r="25" spans="1:5" x14ac:dyDescent="0.25">
      <c r="A25" s="4" t="s">
        <v>38</v>
      </c>
      <c r="B25" s="10">
        <v>2</v>
      </c>
      <c r="C25" s="10">
        <v>116</v>
      </c>
      <c r="D25" s="10">
        <v>116</v>
      </c>
      <c r="E25" s="10">
        <v>0</v>
      </c>
    </row>
    <row r="26" spans="1:5" x14ac:dyDescent="0.25">
      <c r="A26" s="4" t="s">
        <v>39</v>
      </c>
      <c r="B26" s="10">
        <v>21</v>
      </c>
      <c r="C26" s="10">
        <v>1017</v>
      </c>
      <c r="D26" s="10">
        <v>835</v>
      </c>
      <c r="E26" s="10">
        <v>182</v>
      </c>
    </row>
    <row r="27" spans="1:5" x14ac:dyDescent="0.25">
      <c r="A27" s="4" t="s">
        <v>40</v>
      </c>
      <c r="B27" s="10">
        <v>10</v>
      </c>
      <c r="C27" s="10">
        <v>309</v>
      </c>
      <c r="D27" s="10">
        <v>243</v>
      </c>
      <c r="E27" s="10">
        <v>66</v>
      </c>
    </row>
    <row r="28" spans="1:5" x14ac:dyDescent="0.25">
      <c r="A28" s="4" t="s">
        <v>41</v>
      </c>
      <c r="B28" s="10">
        <v>8</v>
      </c>
      <c r="C28" s="10">
        <v>899</v>
      </c>
      <c r="D28" s="10">
        <v>714</v>
      </c>
      <c r="E28" s="10">
        <v>185</v>
      </c>
    </row>
    <row r="29" spans="1:5" x14ac:dyDescent="0.25">
      <c r="A29" s="4" t="s">
        <v>42</v>
      </c>
      <c r="B29" s="10">
        <v>0</v>
      </c>
      <c r="C29" s="10" t="s">
        <v>18</v>
      </c>
      <c r="D29" s="10" t="s">
        <v>18</v>
      </c>
      <c r="E29" s="10" t="s">
        <v>18</v>
      </c>
    </row>
    <row r="30" spans="1:5" x14ac:dyDescent="0.25">
      <c r="A30" s="4" t="s">
        <v>43</v>
      </c>
      <c r="B30" s="10">
        <v>3</v>
      </c>
      <c r="C30" s="10">
        <v>244</v>
      </c>
      <c r="D30" s="10">
        <v>71</v>
      </c>
      <c r="E30" s="10">
        <v>173</v>
      </c>
    </row>
    <row r="31" spans="1:5" x14ac:dyDescent="0.25">
      <c r="A31" s="4" t="s">
        <v>44</v>
      </c>
      <c r="B31" s="10">
        <v>1</v>
      </c>
      <c r="C31" s="10">
        <v>323</v>
      </c>
      <c r="D31" s="10">
        <v>147</v>
      </c>
      <c r="E31" s="10">
        <v>176</v>
      </c>
    </row>
    <row r="32" spans="1:5" x14ac:dyDescent="0.25">
      <c r="A32" s="4" t="s">
        <v>45</v>
      </c>
      <c r="B32" s="10">
        <v>12</v>
      </c>
      <c r="C32" s="10">
        <v>1413</v>
      </c>
      <c r="D32" s="10">
        <v>1091</v>
      </c>
      <c r="E32" s="10">
        <v>322</v>
      </c>
    </row>
    <row r="33" spans="1:5" x14ac:dyDescent="0.25">
      <c r="A33" s="4" t="s">
        <v>46</v>
      </c>
      <c r="B33" s="10">
        <v>1</v>
      </c>
      <c r="C33" s="10">
        <v>160</v>
      </c>
      <c r="D33" s="10">
        <v>144</v>
      </c>
      <c r="E33" s="10">
        <v>16</v>
      </c>
    </row>
    <row r="34" spans="1:5" x14ac:dyDescent="0.25">
      <c r="A34" s="4" t="s">
        <v>47</v>
      </c>
      <c r="B34" s="10">
        <v>3</v>
      </c>
      <c r="C34" s="10">
        <v>249</v>
      </c>
      <c r="D34" s="10">
        <v>213</v>
      </c>
      <c r="E34" s="10">
        <v>36</v>
      </c>
    </row>
    <row r="35" spans="1:5" x14ac:dyDescent="0.25">
      <c r="A35" s="4" t="s">
        <v>48</v>
      </c>
      <c r="B35" s="10">
        <v>3</v>
      </c>
      <c r="C35" s="10">
        <v>127</v>
      </c>
      <c r="D35" s="10">
        <v>116</v>
      </c>
      <c r="E35" s="10">
        <v>11</v>
      </c>
    </row>
    <row r="36" spans="1:5" x14ac:dyDescent="0.25">
      <c r="A36" s="4" t="s">
        <v>49</v>
      </c>
      <c r="B36" s="10">
        <v>19</v>
      </c>
      <c r="C36" s="10">
        <v>592</v>
      </c>
      <c r="D36" s="10">
        <v>465</v>
      </c>
      <c r="E36" s="10">
        <v>127</v>
      </c>
    </row>
    <row r="37" spans="1:5" x14ac:dyDescent="0.25">
      <c r="A37" s="4" t="s">
        <v>50</v>
      </c>
      <c r="B37" s="10">
        <v>2</v>
      </c>
      <c r="C37" s="10">
        <v>345</v>
      </c>
      <c r="D37" s="10">
        <v>202</v>
      </c>
      <c r="E37" s="10">
        <v>143</v>
      </c>
    </row>
    <row r="38" spans="1:5" x14ac:dyDescent="0.25">
      <c r="A38" s="4" t="s">
        <v>51</v>
      </c>
      <c r="B38" s="10">
        <v>3</v>
      </c>
      <c r="C38" s="10">
        <v>1229</v>
      </c>
      <c r="D38" s="10">
        <v>691</v>
      </c>
      <c r="E38" s="10">
        <v>538</v>
      </c>
    </row>
    <row r="39" spans="1:5" x14ac:dyDescent="0.25">
      <c r="A39" s="4" t="s">
        <v>52</v>
      </c>
      <c r="B39" s="10">
        <v>31</v>
      </c>
      <c r="C39" s="10">
        <v>4961</v>
      </c>
      <c r="D39" s="10">
        <v>4370</v>
      </c>
      <c r="E39" s="10">
        <v>591</v>
      </c>
    </row>
    <row r="40" spans="1:5" x14ac:dyDescent="0.25">
      <c r="A40" s="4" t="s">
        <v>53</v>
      </c>
      <c r="B40" s="10">
        <v>9</v>
      </c>
      <c r="C40" s="10">
        <v>1244</v>
      </c>
      <c r="D40" s="10">
        <v>1034</v>
      </c>
      <c r="E40" s="10">
        <v>210</v>
      </c>
    </row>
    <row r="41" spans="1:5" x14ac:dyDescent="0.25">
      <c r="A41" s="4" t="s">
        <v>54</v>
      </c>
      <c r="B41" s="10">
        <v>8</v>
      </c>
      <c r="C41" s="10">
        <v>404</v>
      </c>
      <c r="D41" s="10">
        <v>299</v>
      </c>
      <c r="E41" s="10">
        <v>105</v>
      </c>
    </row>
    <row r="42" spans="1:5" x14ac:dyDescent="0.25">
      <c r="A42" s="4" t="s">
        <v>55</v>
      </c>
      <c r="B42" s="10">
        <v>7</v>
      </c>
      <c r="C42" s="10">
        <v>1356</v>
      </c>
      <c r="D42" s="10">
        <v>558</v>
      </c>
      <c r="E42" s="10">
        <v>798</v>
      </c>
    </row>
    <row r="43" spans="1:5" x14ac:dyDescent="0.25">
      <c r="A43" s="4" t="s">
        <v>56</v>
      </c>
      <c r="B43" s="10">
        <v>18</v>
      </c>
      <c r="C43" s="10">
        <v>1456</v>
      </c>
      <c r="D43" s="10">
        <v>1321</v>
      </c>
      <c r="E43" s="10">
        <v>135</v>
      </c>
    </row>
    <row r="44" spans="1:5" x14ac:dyDescent="0.25">
      <c r="A44" s="4" t="s">
        <v>57</v>
      </c>
      <c r="B44" s="10">
        <v>2</v>
      </c>
      <c r="C44" s="10">
        <v>116</v>
      </c>
      <c r="D44" s="10">
        <v>29</v>
      </c>
      <c r="E44" s="10">
        <v>87</v>
      </c>
    </row>
    <row r="45" spans="1:5" x14ac:dyDescent="0.25">
      <c r="A45" s="4" t="s">
        <v>58</v>
      </c>
      <c r="B45" s="10">
        <v>1</v>
      </c>
      <c r="C45" s="10">
        <v>96</v>
      </c>
      <c r="D45" s="10">
        <v>96</v>
      </c>
      <c r="E45" s="10">
        <v>0</v>
      </c>
    </row>
    <row r="46" spans="1:5" x14ac:dyDescent="0.25">
      <c r="A46" s="4" t="s">
        <v>59</v>
      </c>
      <c r="B46" s="10">
        <v>4</v>
      </c>
      <c r="C46" s="10">
        <v>543</v>
      </c>
      <c r="D46" s="10">
        <v>320</v>
      </c>
      <c r="E46" s="10">
        <v>223</v>
      </c>
    </row>
    <row r="47" spans="1:5" x14ac:dyDescent="0.25">
      <c r="A47" s="4" t="s">
        <v>60</v>
      </c>
      <c r="B47" s="10">
        <v>1</v>
      </c>
      <c r="C47" s="10">
        <v>124</v>
      </c>
      <c r="D47" s="10">
        <v>114</v>
      </c>
      <c r="E47" s="10">
        <v>10</v>
      </c>
    </row>
    <row r="48" spans="1:5" x14ac:dyDescent="0.25">
      <c r="A48" s="4" t="s">
        <v>61</v>
      </c>
      <c r="B48" s="10">
        <v>10</v>
      </c>
      <c r="C48" s="10">
        <v>1285</v>
      </c>
      <c r="D48" s="10">
        <v>973</v>
      </c>
      <c r="E48" s="10">
        <v>312</v>
      </c>
    </row>
    <row r="49" spans="1:5" x14ac:dyDescent="0.25">
      <c r="A49" s="4" t="s">
        <v>62</v>
      </c>
      <c r="B49" s="10">
        <v>14</v>
      </c>
      <c r="C49" s="10">
        <v>4364</v>
      </c>
      <c r="D49" s="10">
        <v>1884</v>
      </c>
      <c r="E49" s="10">
        <v>2480</v>
      </c>
    </row>
    <row r="50" spans="1:5" x14ac:dyDescent="0.25">
      <c r="A50" s="4" t="s">
        <v>63</v>
      </c>
      <c r="B50" s="10">
        <v>3</v>
      </c>
      <c r="C50" s="10">
        <v>330</v>
      </c>
      <c r="D50" s="10">
        <v>297</v>
      </c>
      <c r="E50" s="10">
        <v>33</v>
      </c>
    </row>
    <row r="51" spans="1:5" x14ac:dyDescent="0.25">
      <c r="A51" s="4" t="s">
        <v>64</v>
      </c>
      <c r="B51" s="10">
        <v>19</v>
      </c>
      <c r="C51" s="10">
        <v>881</v>
      </c>
      <c r="D51" s="10">
        <v>727</v>
      </c>
      <c r="E51" s="10">
        <v>154</v>
      </c>
    </row>
    <row r="52" spans="1:5" x14ac:dyDescent="0.25">
      <c r="A52" s="4" t="s">
        <v>65</v>
      </c>
      <c r="B52" s="10">
        <v>1</v>
      </c>
      <c r="C52" s="10">
        <v>33</v>
      </c>
      <c r="D52" s="10">
        <v>1</v>
      </c>
      <c r="E52" s="10">
        <v>32</v>
      </c>
    </row>
    <row r="53" spans="1:5" x14ac:dyDescent="0.25">
      <c r="A53" s="4" t="s">
        <v>66</v>
      </c>
      <c r="B53" s="10">
        <v>2</v>
      </c>
      <c r="C53" s="10">
        <v>109</v>
      </c>
      <c r="D53" s="10">
        <v>93</v>
      </c>
      <c r="E53" s="10">
        <v>16</v>
      </c>
    </row>
    <row r="54" spans="1:5" x14ac:dyDescent="0.25">
      <c r="A54" s="4" t="s">
        <v>67</v>
      </c>
      <c r="B54" s="10">
        <v>7</v>
      </c>
      <c r="C54" s="10">
        <v>1475</v>
      </c>
      <c r="D54" s="10">
        <v>1097</v>
      </c>
      <c r="E54" s="10">
        <v>378</v>
      </c>
    </row>
    <row r="55" spans="1:5" x14ac:dyDescent="0.25">
      <c r="A55" s="4" t="s">
        <v>68</v>
      </c>
      <c r="B55" s="10">
        <v>4</v>
      </c>
      <c r="C55" s="10">
        <v>539</v>
      </c>
      <c r="D55" s="10">
        <v>525</v>
      </c>
      <c r="E55" s="10">
        <v>14</v>
      </c>
    </row>
    <row r="56" spans="1:5" x14ac:dyDescent="0.25">
      <c r="A56" s="4" t="s">
        <v>69</v>
      </c>
      <c r="B56" s="10">
        <v>4</v>
      </c>
      <c r="C56" s="10">
        <v>268</v>
      </c>
      <c r="D56" s="10">
        <v>219</v>
      </c>
      <c r="E56" s="10">
        <v>49</v>
      </c>
    </row>
    <row r="57" spans="1:5" x14ac:dyDescent="0.25">
      <c r="A57" s="4" t="s">
        <v>70</v>
      </c>
      <c r="B57" s="10">
        <v>1</v>
      </c>
      <c r="C57" s="10">
        <v>311</v>
      </c>
      <c r="D57" s="10">
        <v>128</v>
      </c>
      <c r="E57" s="10">
        <v>183</v>
      </c>
    </row>
    <row r="58" spans="1:5" x14ac:dyDescent="0.25">
      <c r="A58" s="6" t="s">
        <v>71</v>
      </c>
      <c r="B58" s="11">
        <v>425</v>
      </c>
      <c r="C58" s="11">
        <v>60579</v>
      </c>
      <c r="D58" s="11">
        <v>35143</v>
      </c>
      <c r="E58" s="11">
        <v>25436</v>
      </c>
    </row>
    <row r="59" spans="1:5" ht="14.1" customHeight="1" x14ac:dyDescent="0.25">
      <c r="A59" s="8"/>
    </row>
  </sheetData>
  <pageMargins left="0.08" right="0.08" top="1" bottom="1" header="0.5" footer="0.5"/>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3DA32-3A2D-40FF-87D3-31E84DEF6AD7}">
  <dimension ref="A1:E59"/>
  <sheetViews>
    <sheetView workbookViewId="0">
      <selection activeCell="C20" sqref="C20"/>
    </sheetView>
  </sheetViews>
  <sheetFormatPr defaultRowHeight="15" x14ac:dyDescent="0.25"/>
  <cols>
    <col min="1" max="1" width="11.42578125" style="1" bestFit="1" customWidth="1"/>
    <col min="2" max="5" width="17.140625" style="1" bestFit="1" customWidth="1"/>
    <col min="6" max="16384" width="9.140625" style="1"/>
  </cols>
  <sheetData>
    <row r="1" spans="1:5" ht="39" x14ac:dyDescent="0.25">
      <c r="A1" s="2" t="s">
        <v>72</v>
      </c>
      <c r="B1" s="9" t="s">
        <v>73</v>
      </c>
      <c r="C1" s="9" t="s">
        <v>146</v>
      </c>
      <c r="D1" s="9" t="s">
        <v>147</v>
      </c>
      <c r="E1" s="9" t="s">
        <v>148</v>
      </c>
    </row>
    <row r="2" spans="1:5" x14ac:dyDescent="0.25">
      <c r="A2" s="4" t="s">
        <v>14</v>
      </c>
      <c r="B2" s="10">
        <v>2</v>
      </c>
      <c r="C2" s="10">
        <v>288</v>
      </c>
      <c r="D2" s="10">
        <v>236</v>
      </c>
      <c r="E2" s="10">
        <v>52</v>
      </c>
    </row>
    <row r="3" spans="1:5" x14ac:dyDescent="0.25">
      <c r="A3" s="4" t="s">
        <v>15</v>
      </c>
      <c r="B3" s="10">
        <v>8</v>
      </c>
      <c r="C3" s="10">
        <v>659</v>
      </c>
      <c r="D3" s="10">
        <v>387</v>
      </c>
      <c r="E3" s="10">
        <v>272</v>
      </c>
    </row>
    <row r="4" spans="1:5" x14ac:dyDescent="0.25">
      <c r="A4" s="4" t="s">
        <v>16</v>
      </c>
      <c r="B4" s="10">
        <v>7</v>
      </c>
      <c r="C4" s="10">
        <v>411</v>
      </c>
      <c r="D4" s="10">
        <v>268</v>
      </c>
      <c r="E4" s="10">
        <v>143</v>
      </c>
    </row>
    <row r="5" spans="1:5" x14ac:dyDescent="0.25">
      <c r="A5" s="4" t="s">
        <v>17</v>
      </c>
      <c r="B5" s="10">
        <v>0</v>
      </c>
      <c r="C5" s="10" t="s">
        <v>18</v>
      </c>
      <c r="D5" s="10" t="s">
        <v>18</v>
      </c>
      <c r="E5" s="10" t="s">
        <v>18</v>
      </c>
    </row>
    <row r="6" spans="1:5" x14ac:dyDescent="0.25">
      <c r="A6" s="4" t="s">
        <v>19</v>
      </c>
      <c r="B6" s="10">
        <v>3</v>
      </c>
      <c r="C6" s="10">
        <v>1528</v>
      </c>
      <c r="D6" s="10">
        <v>1018</v>
      </c>
      <c r="E6" s="10">
        <v>510</v>
      </c>
    </row>
    <row r="7" spans="1:5" x14ac:dyDescent="0.25">
      <c r="A7" s="4" t="s">
        <v>20</v>
      </c>
      <c r="B7" s="10">
        <v>42</v>
      </c>
      <c r="C7" s="10">
        <v>16783</v>
      </c>
      <c r="D7" s="10">
        <v>6689</v>
      </c>
      <c r="E7" s="10">
        <v>10094</v>
      </c>
    </row>
    <row r="8" spans="1:5" x14ac:dyDescent="0.25">
      <c r="A8" s="4" t="s">
        <v>21</v>
      </c>
      <c r="B8" s="10">
        <v>3</v>
      </c>
      <c r="C8" s="10">
        <v>2074</v>
      </c>
      <c r="D8" s="10">
        <v>1381</v>
      </c>
      <c r="E8" s="10">
        <v>693</v>
      </c>
    </row>
    <row r="9" spans="1:5" x14ac:dyDescent="0.25">
      <c r="A9" s="4" t="s">
        <v>22</v>
      </c>
      <c r="B9" s="10">
        <v>7</v>
      </c>
      <c r="C9" s="10">
        <v>443</v>
      </c>
      <c r="D9" s="10">
        <v>396</v>
      </c>
      <c r="E9" s="10">
        <v>47</v>
      </c>
    </row>
    <row r="10" spans="1:5" x14ac:dyDescent="0.25">
      <c r="A10" s="4" t="s">
        <v>23</v>
      </c>
      <c r="B10" s="10">
        <v>1</v>
      </c>
      <c r="C10" s="10">
        <v>515</v>
      </c>
      <c r="D10" s="10">
        <v>490</v>
      </c>
      <c r="E10" s="10">
        <v>25</v>
      </c>
    </row>
    <row r="11" spans="1:5" x14ac:dyDescent="0.25">
      <c r="A11" s="4" t="s">
        <v>24</v>
      </c>
      <c r="B11" s="10">
        <v>1</v>
      </c>
      <c r="C11" s="10">
        <v>55</v>
      </c>
      <c r="D11" s="10">
        <v>53</v>
      </c>
      <c r="E11" s="10">
        <v>2</v>
      </c>
    </row>
    <row r="12" spans="1:5" x14ac:dyDescent="0.25">
      <c r="A12" s="4" t="s">
        <v>25</v>
      </c>
      <c r="B12" s="10">
        <v>28</v>
      </c>
      <c r="C12" s="10">
        <v>5644</v>
      </c>
      <c r="D12" s="10">
        <v>2276</v>
      </c>
      <c r="E12" s="10">
        <v>3368</v>
      </c>
    </row>
    <row r="13" spans="1:5" x14ac:dyDescent="0.25">
      <c r="A13" s="4" t="s">
        <v>26</v>
      </c>
      <c r="B13" s="10">
        <v>7</v>
      </c>
      <c r="C13" s="10">
        <v>2243</v>
      </c>
      <c r="D13" s="10">
        <v>1025</v>
      </c>
      <c r="E13" s="10">
        <v>1218</v>
      </c>
    </row>
    <row r="14" spans="1:5" x14ac:dyDescent="0.25">
      <c r="A14" s="4" t="s">
        <v>27</v>
      </c>
      <c r="B14" s="10">
        <v>1</v>
      </c>
      <c r="C14" s="10">
        <v>33</v>
      </c>
      <c r="D14" s="10">
        <v>7</v>
      </c>
      <c r="E14" s="10">
        <v>26</v>
      </c>
    </row>
    <row r="15" spans="1:5" x14ac:dyDescent="0.25">
      <c r="A15" s="4" t="s">
        <v>28</v>
      </c>
      <c r="B15" s="10">
        <v>2</v>
      </c>
      <c r="C15" s="10">
        <v>505</v>
      </c>
      <c r="D15" s="10">
        <v>210</v>
      </c>
      <c r="E15" s="10">
        <v>295</v>
      </c>
    </row>
    <row r="16" spans="1:5" x14ac:dyDescent="0.25">
      <c r="A16" s="4" t="s">
        <v>29</v>
      </c>
      <c r="B16" s="10">
        <v>3</v>
      </c>
      <c r="C16" s="10">
        <v>267</v>
      </c>
      <c r="D16" s="10">
        <v>255</v>
      </c>
      <c r="E16" s="10">
        <v>12</v>
      </c>
    </row>
    <row r="17" spans="1:5" x14ac:dyDescent="0.25">
      <c r="A17" s="4" t="s">
        <v>30</v>
      </c>
      <c r="B17" s="10">
        <v>2</v>
      </c>
      <c r="C17" s="10">
        <v>250</v>
      </c>
      <c r="D17" s="10">
        <v>169</v>
      </c>
      <c r="E17" s="10">
        <v>81</v>
      </c>
    </row>
    <row r="18" spans="1:5" x14ac:dyDescent="0.25">
      <c r="A18" s="4" t="s">
        <v>31</v>
      </c>
      <c r="B18" s="10">
        <v>20</v>
      </c>
      <c r="C18" s="10">
        <v>1081</v>
      </c>
      <c r="D18" s="10">
        <v>765</v>
      </c>
      <c r="E18" s="10">
        <v>316</v>
      </c>
    </row>
    <row r="19" spans="1:5" x14ac:dyDescent="0.25">
      <c r="A19" s="4" t="s">
        <v>32</v>
      </c>
      <c r="B19" s="10">
        <v>3</v>
      </c>
      <c r="C19" s="10">
        <v>714</v>
      </c>
      <c r="D19" s="10">
        <v>638</v>
      </c>
      <c r="E19" s="10">
        <v>76</v>
      </c>
    </row>
    <row r="20" spans="1:5" x14ac:dyDescent="0.25">
      <c r="A20" s="4" t="s">
        <v>33</v>
      </c>
      <c r="B20" s="10">
        <v>5</v>
      </c>
      <c r="C20" s="10">
        <v>384</v>
      </c>
      <c r="D20" s="10">
        <v>342</v>
      </c>
      <c r="E20" s="10">
        <v>42</v>
      </c>
    </row>
    <row r="21" spans="1:5" x14ac:dyDescent="0.25">
      <c r="A21" s="4" t="s">
        <v>34</v>
      </c>
      <c r="B21" s="10">
        <v>3</v>
      </c>
      <c r="C21" s="10">
        <v>636</v>
      </c>
      <c r="D21" s="10">
        <v>579</v>
      </c>
      <c r="E21" s="10">
        <v>57</v>
      </c>
    </row>
    <row r="22" spans="1:5" x14ac:dyDescent="0.25">
      <c r="A22" s="4" t="s">
        <v>35</v>
      </c>
      <c r="B22" s="10">
        <v>9</v>
      </c>
      <c r="C22" s="10">
        <v>950</v>
      </c>
      <c r="D22" s="10">
        <v>443</v>
      </c>
      <c r="E22" s="10">
        <v>507</v>
      </c>
    </row>
    <row r="23" spans="1:5" x14ac:dyDescent="0.25">
      <c r="A23" s="4" t="s">
        <v>36</v>
      </c>
      <c r="B23" s="10">
        <v>20</v>
      </c>
      <c r="C23" s="10">
        <v>1268</v>
      </c>
      <c r="D23" s="10">
        <v>1210</v>
      </c>
      <c r="E23" s="10">
        <v>58</v>
      </c>
    </row>
    <row r="24" spans="1:5" x14ac:dyDescent="0.25">
      <c r="A24" s="4" t="s">
        <v>37</v>
      </c>
      <c r="B24" s="10">
        <v>16</v>
      </c>
      <c r="C24" s="10">
        <v>696</v>
      </c>
      <c r="D24" s="10">
        <v>577</v>
      </c>
      <c r="E24" s="10">
        <v>119</v>
      </c>
    </row>
    <row r="25" spans="1:5" x14ac:dyDescent="0.25">
      <c r="A25" s="4" t="s">
        <v>38</v>
      </c>
      <c r="B25" s="10">
        <v>3</v>
      </c>
      <c r="C25" s="10">
        <v>127</v>
      </c>
      <c r="D25" s="10">
        <v>121</v>
      </c>
      <c r="E25" s="10">
        <v>6</v>
      </c>
    </row>
    <row r="26" spans="1:5" x14ac:dyDescent="0.25">
      <c r="A26" s="4" t="s">
        <v>39</v>
      </c>
      <c r="B26" s="10">
        <v>21</v>
      </c>
      <c r="C26" s="10">
        <v>959</v>
      </c>
      <c r="D26" s="10">
        <v>755</v>
      </c>
      <c r="E26" s="10">
        <v>204</v>
      </c>
    </row>
    <row r="27" spans="1:5" x14ac:dyDescent="0.25">
      <c r="A27" s="4" t="s">
        <v>40</v>
      </c>
      <c r="B27" s="10">
        <v>10</v>
      </c>
      <c r="C27" s="10">
        <v>449</v>
      </c>
      <c r="D27" s="10">
        <v>371</v>
      </c>
      <c r="E27" s="10">
        <v>78</v>
      </c>
    </row>
    <row r="28" spans="1:5" x14ac:dyDescent="0.25">
      <c r="A28" s="4" t="s">
        <v>41</v>
      </c>
      <c r="B28" s="10">
        <v>8</v>
      </c>
      <c r="C28" s="10">
        <v>852</v>
      </c>
      <c r="D28" s="10">
        <v>627</v>
      </c>
      <c r="E28" s="10">
        <v>225</v>
      </c>
    </row>
    <row r="29" spans="1:5" x14ac:dyDescent="0.25">
      <c r="A29" s="4" t="s">
        <v>42</v>
      </c>
      <c r="B29" s="10">
        <v>0</v>
      </c>
      <c r="C29" s="10" t="s">
        <v>18</v>
      </c>
      <c r="D29" s="10" t="s">
        <v>18</v>
      </c>
      <c r="E29" s="10" t="s">
        <v>18</v>
      </c>
    </row>
    <row r="30" spans="1:5" x14ac:dyDescent="0.25">
      <c r="A30" s="4" t="s">
        <v>43</v>
      </c>
      <c r="B30" s="10">
        <v>3</v>
      </c>
      <c r="C30" s="10">
        <v>205</v>
      </c>
      <c r="D30" s="10">
        <v>114</v>
      </c>
      <c r="E30" s="10">
        <v>91</v>
      </c>
    </row>
    <row r="31" spans="1:5" x14ac:dyDescent="0.25">
      <c r="A31" s="4" t="s">
        <v>44</v>
      </c>
      <c r="B31" s="10">
        <v>1</v>
      </c>
      <c r="C31" s="10">
        <v>251</v>
      </c>
      <c r="D31" s="10">
        <v>135</v>
      </c>
      <c r="E31" s="10">
        <v>116</v>
      </c>
    </row>
    <row r="32" spans="1:5" x14ac:dyDescent="0.25">
      <c r="A32" s="4" t="s">
        <v>45</v>
      </c>
      <c r="B32" s="10">
        <v>12</v>
      </c>
      <c r="C32" s="10">
        <v>1248</v>
      </c>
      <c r="D32" s="10">
        <v>941</v>
      </c>
      <c r="E32" s="10">
        <v>307</v>
      </c>
    </row>
    <row r="33" spans="1:5" x14ac:dyDescent="0.25">
      <c r="A33" s="4" t="s">
        <v>46</v>
      </c>
      <c r="B33" s="10">
        <v>1</v>
      </c>
      <c r="C33" s="10">
        <v>124</v>
      </c>
      <c r="D33" s="10">
        <v>121</v>
      </c>
      <c r="E33" s="10">
        <v>3</v>
      </c>
    </row>
    <row r="34" spans="1:5" x14ac:dyDescent="0.25">
      <c r="A34" s="4" t="s">
        <v>47</v>
      </c>
      <c r="B34" s="10">
        <v>3</v>
      </c>
      <c r="C34" s="10">
        <v>310</v>
      </c>
      <c r="D34" s="10">
        <v>253</v>
      </c>
      <c r="E34" s="10">
        <v>57</v>
      </c>
    </row>
    <row r="35" spans="1:5" x14ac:dyDescent="0.25">
      <c r="A35" s="4" t="s">
        <v>48</v>
      </c>
      <c r="B35" s="10">
        <v>3</v>
      </c>
      <c r="C35" s="10">
        <v>126</v>
      </c>
      <c r="D35" s="10">
        <v>118</v>
      </c>
      <c r="E35" s="10">
        <v>8</v>
      </c>
    </row>
    <row r="36" spans="1:5" x14ac:dyDescent="0.25">
      <c r="A36" s="4" t="s">
        <v>49</v>
      </c>
      <c r="B36" s="10">
        <v>19</v>
      </c>
      <c r="C36" s="10">
        <v>811</v>
      </c>
      <c r="D36" s="10">
        <v>668</v>
      </c>
      <c r="E36" s="10">
        <v>143</v>
      </c>
    </row>
    <row r="37" spans="1:5" x14ac:dyDescent="0.25">
      <c r="A37" s="4" t="s">
        <v>50</v>
      </c>
      <c r="B37" s="10">
        <v>2</v>
      </c>
      <c r="C37" s="10">
        <v>364</v>
      </c>
      <c r="D37" s="10">
        <v>221</v>
      </c>
      <c r="E37" s="10">
        <v>143</v>
      </c>
    </row>
    <row r="38" spans="1:5" x14ac:dyDescent="0.25">
      <c r="A38" s="4" t="s">
        <v>51</v>
      </c>
      <c r="B38" s="10">
        <v>3</v>
      </c>
      <c r="C38" s="10">
        <v>1240</v>
      </c>
      <c r="D38" s="10">
        <v>692</v>
      </c>
      <c r="E38" s="10">
        <v>548</v>
      </c>
    </row>
    <row r="39" spans="1:5" x14ac:dyDescent="0.25">
      <c r="A39" s="4" t="s">
        <v>52</v>
      </c>
      <c r="B39" s="10">
        <v>32</v>
      </c>
      <c r="C39" s="10">
        <v>5765</v>
      </c>
      <c r="D39" s="10">
        <v>5246</v>
      </c>
      <c r="E39" s="10">
        <v>519</v>
      </c>
    </row>
    <row r="40" spans="1:5" x14ac:dyDescent="0.25">
      <c r="A40" s="4" t="s">
        <v>53</v>
      </c>
      <c r="B40" s="10">
        <v>9</v>
      </c>
      <c r="C40" s="10">
        <v>1279</v>
      </c>
      <c r="D40" s="10">
        <v>1083</v>
      </c>
      <c r="E40" s="10">
        <v>196</v>
      </c>
    </row>
    <row r="41" spans="1:5" x14ac:dyDescent="0.25">
      <c r="A41" s="4" t="s">
        <v>54</v>
      </c>
      <c r="B41" s="10">
        <v>8</v>
      </c>
      <c r="C41" s="10">
        <v>356</v>
      </c>
      <c r="D41" s="10">
        <v>301</v>
      </c>
      <c r="E41" s="10">
        <v>55</v>
      </c>
    </row>
    <row r="42" spans="1:5" x14ac:dyDescent="0.25">
      <c r="A42" s="4" t="s">
        <v>55</v>
      </c>
      <c r="B42" s="10">
        <v>7</v>
      </c>
      <c r="C42" s="10">
        <v>1474</v>
      </c>
      <c r="D42" s="10">
        <v>655</v>
      </c>
      <c r="E42" s="10">
        <v>819</v>
      </c>
    </row>
    <row r="43" spans="1:5" x14ac:dyDescent="0.25">
      <c r="A43" s="4" t="s">
        <v>56</v>
      </c>
      <c r="B43" s="10">
        <v>18</v>
      </c>
      <c r="C43" s="10">
        <v>1392</v>
      </c>
      <c r="D43" s="10">
        <v>1262</v>
      </c>
      <c r="E43" s="10">
        <v>130</v>
      </c>
    </row>
    <row r="44" spans="1:5" x14ac:dyDescent="0.25">
      <c r="A44" s="4" t="s">
        <v>57</v>
      </c>
      <c r="B44" s="10">
        <v>2</v>
      </c>
      <c r="C44" s="10">
        <v>137</v>
      </c>
      <c r="D44" s="10">
        <v>50</v>
      </c>
      <c r="E44" s="10">
        <v>87</v>
      </c>
    </row>
    <row r="45" spans="1:5" x14ac:dyDescent="0.25">
      <c r="A45" s="4" t="s">
        <v>58</v>
      </c>
      <c r="B45" s="10">
        <v>1</v>
      </c>
      <c r="C45" s="10">
        <v>123</v>
      </c>
      <c r="D45" s="10">
        <v>121</v>
      </c>
      <c r="E45" s="10">
        <v>2</v>
      </c>
    </row>
    <row r="46" spans="1:5" x14ac:dyDescent="0.25">
      <c r="A46" s="4" t="s">
        <v>59</v>
      </c>
      <c r="B46" s="10">
        <v>4</v>
      </c>
      <c r="C46" s="10">
        <v>612</v>
      </c>
      <c r="D46" s="10">
        <v>389</v>
      </c>
      <c r="E46" s="10">
        <v>223</v>
      </c>
    </row>
    <row r="47" spans="1:5" x14ac:dyDescent="0.25">
      <c r="A47" s="4" t="s">
        <v>60</v>
      </c>
      <c r="B47" s="10">
        <v>1</v>
      </c>
      <c r="C47" s="10">
        <v>109</v>
      </c>
      <c r="D47" s="10">
        <v>99</v>
      </c>
      <c r="E47" s="10">
        <v>10</v>
      </c>
    </row>
    <row r="48" spans="1:5" x14ac:dyDescent="0.25">
      <c r="A48" s="4" t="s">
        <v>61</v>
      </c>
      <c r="B48" s="10">
        <v>10</v>
      </c>
      <c r="C48" s="10">
        <v>965</v>
      </c>
      <c r="D48" s="10">
        <v>732</v>
      </c>
      <c r="E48" s="10">
        <v>233</v>
      </c>
    </row>
    <row r="49" spans="1:5" x14ac:dyDescent="0.25">
      <c r="A49" s="4" t="s">
        <v>62</v>
      </c>
      <c r="B49" s="10">
        <v>16</v>
      </c>
      <c r="C49" s="10">
        <v>4891</v>
      </c>
      <c r="D49" s="10">
        <v>2365</v>
      </c>
      <c r="E49" s="10">
        <v>2526</v>
      </c>
    </row>
    <row r="50" spans="1:5" x14ac:dyDescent="0.25">
      <c r="A50" s="4" t="s">
        <v>63</v>
      </c>
      <c r="B50" s="10">
        <v>3</v>
      </c>
      <c r="C50" s="10">
        <v>345</v>
      </c>
      <c r="D50" s="10">
        <v>310</v>
      </c>
      <c r="E50" s="10">
        <v>35</v>
      </c>
    </row>
    <row r="51" spans="1:5" x14ac:dyDescent="0.25">
      <c r="A51" s="4" t="s">
        <v>64</v>
      </c>
      <c r="B51" s="10">
        <v>20</v>
      </c>
      <c r="C51" s="10">
        <v>931</v>
      </c>
      <c r="D51" s="10">
        <v>768</v>
      </c>
      <c r="E51" s="10">
        <v>163</v>
      </c>
    </row>
    <row r="52" spans="1:5" x14ac:dyDescent="0.25">
      <c r="A52" s="4" t="s">
        <v>65</v>
      </c>
      <c r="B52" s="10">
        <v>1</v>
      </c>
      <c r="C52" s="10">
        <v>32</v>
      </c>
      <c r="D52" s="10">
        <v>0</v>
      </c>
      <c r="E52" s="10">
        <v>32</v>
      </c>
    </row>
    <row r="53" spans="1:5" x14ac:dyDescent="0.25">
      <c r="A53" s="4" t="s">
        <v>66</v>
      </c>
      <c r="B53" s="10">
        <v>2</v>
      </c>
      <c r="C53" s="10">
        <v>81</v>
      </c>
      <c r="D53" s="10">
        <v>75</v>
      </c>
      <c r="E53" s="10">
        <v>6</v>
      </c>
    </row>
    <row r="54" spans="1:5" x14ac:dyDescent="0.25">
      <c r="A54" s="4" t="s">
        <v>67</v>
      </c>
      <c r="B54" s="10">
        <v>7</v>
      </c>
      <c r="C54" s="10">
        <v>1478</v>
      </c>
      <c r="D54" s="10">
        <v>1167</v>
      </c>
      <c r="E54" s="10">
        <v>311</v>
      </c>
    </row>
    <row r="55" spans="1:5" x14ac:dyDescent="0.25">
      <c r="A55" s="4" t="s">
        <v>68</v>
      </c>
      <c r="B55" s="10">
        <v>4</v>
      </c>
      <c r="C55" s="10">
        <v>607</v>
      </c>
      <c r="D55" s="10">
        <v>584</v>
      </c>
      <c r="E55" s="10">
        <v>23</v>
      </c>
    </row>
    <row r="56" spans="1:5" x14ac:dyDescent="0.25">
      <c r="A56" s="4" t="s">
        <v>69</v>
      </c>
      <c r="B56" s="10">
        <v>4</v>
      </c>
      <c r="C56" s="10">
        <v>302</v>
      </c>
      <c r="D56" s="10">
        <v>236</v>
      </c>
      <c r="E56" s="10">
        <v>66</v>
      </c>
    </row>
    <row r="57" spans="1:5" x14ac:dyDescent="0.25">
      <c r="A57" s="4" t="s">
        <v>70</v>
      </c>
      <c r="B57" s="10">
        <v>1</v>
      </c>
      <c r="C57" s="10">
        <v>83</v>
      </c>
      <c r="D57" s="10">
        <v>39</v>
      </c>
      <c r="E57" s="10">
        <v>44</v>
      </c>
    </row>
    <row r="58" spans="1:5" x14ac:dyDescent="0.25">
      <c r="A58" s="6" t="s">
        <v>71</v>
      </c>
      <c r="B58" s="11">
        <v>432</v>
      </c>
      <c r="C58" s="11">
        <v>65455</v>
      </c>
      <c r="D58" s="11">
        <v>40033</v>
      </c>
      <c r="E58" s="11">
        <v>25422</v>
      </c>
    </row>
    <row r="59" spans="1:5" ht="14.1" customHeight="1" x14ac:dyDescent="0.25">
      <c r="A59" s="8"/>
    </row>
  </sheetData>
  <pageMargins left="0.08" right="0.08" top="1" bottom="1" header="0.5" footer="0.5"/>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0c5f48d-fa41-4ae2-9b6c-45db7ed97712">
      <Terms xmlns="http://schemas.microsoft.com/office/infopath/2007/PartnerControls"/>
    </lcf76f155ced4ddcb4097134ff3c332f>
    <TaxCatchAll xmlns="6c854b04-c9c6-4391-adbe-2e73191270e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7E4DD045EB04C45824A8963ACCC6414" ma:contentTypeVersion="16" ma:contentTypeDescription="Create a new document." ma:contentTypeScope="" ma:versionID="b76005e8642a38ae373ade0553b5d0c2">
  <xsd:schema xmlns:xsd="http://www.w3.org/2001/XMLSchema" xmlns:xs="http://www.w3.org/2001/XMLSchema" xmlns:p="http://schemas.microsoft.com/office/2006/metadata/properties" xmlns:ns2="50c5f48d-fa41-4ae2-9b6c-45db7ed97712" xmlns:ns3="6c854b04-c9c6-4391-adbe-2e73191270e7" xmlns:ns4="69f5280e-ea29-4dba-9ad0-3ddc06e433eb" targetNamespace="http://schemas.microsoft.com/office/2006/metadata/properties" ma:root="true" ma:fieldsID="0a948f01665818e690869753e3afe09d" ns2:_="" ns3:_="" ns4:_="">
    <xsd:import namespace="50c5f48d-fa41-4ae2-9b6c-45db7ed97712"/>
    <xsd:import namespace="6c854b04-c9c6-4391-adbe-2e73191270e7"/>
    <xsd:import namespace="69f5280e-ea29-4dba-9ad0-3ddc06e433eb"/>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5f48d-fa41-4ae2-9b6c-45db7ed977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654925c-3bd7-4187-ab31-e932ed5cd6b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854b04-c9c6-4391-adbe-2e73191270e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489d426-9dbf-4563-9f72-db5b915bc0b7}" ma:internalName="TaxCatchAll" ma:showField="CatchAllData" ma:web="69f5280e-ea29-4dba-9ad0-3ddc06e433e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f5280e-ea29-4dba-9ad0-3ddc06e433eb"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615AB5A3-860B-4F0B-ACA0-5052A0D9B09D}">
  <ds:schemaRefs>
    <ds:schemaRef ds:uri="http://schemas.microsoft.com/office/2006/metadata/properties"/>
    <ds:schemaRef ds:uri="http://schemas.microsoft.com/office/infopath/2007/PartnerControls"/>
    <ds:schemaRef ds:uri="50c5f48d-fa41-4ae2-9b6c-45db7ed97712"/>
    <ds:schemaRef ds:uri="6c854b04-c9c6-4391-adbe-2e73191270e7"/>
  </ds:schemaRefs>
</ds:datastoreItem>
</file>

<file path=customXml/itemProps2.xml><?xml version="1.0" encoding="utf-8"?>
<ds:datastoreItem xmlns:ds="http://schemas.openxmlformats.org/officeDocument/2006/customXml" ds:itemID="{D3AAC5F5-6B20-44A9-B628-457641AE3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c5f48d-fa41-4ae2-9b6c-45db7ed97712"/>
    <ds:schemaRef ds:uri="6c854b04-c9c6-4391-adbe-2e73191270e7"/>
    <ds:schemaRef ds:uri="69f5280e-ea29-4dba-9ad0-3ddc06e433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09D55F-8223-42A5-9699-93089C556C60}">
  <ds:schemaRefs>
    <ds:schemaRef ds:uri="http://schemas.microsoft.com/sharepoint/v3/contenttype/forms"/>
  </ds:schemaRefs>
</ds:datastoreItem>
</file>

<file path=customXml/itemProps4.xml><?xml version="1.0" encoding="utf-8"?>
<ds:datastoreItem xmlns:ds="http://schemas.openxmlformats.org/officeDocument/2006/customXml" ds:itemID="{349354BB-EE8B-490C-86D2-230DFC9A03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Pivot &amp; Graphs</vt:lpstr>
      <vt:lpstr>Territories</vt:lpstr>
      <vt:lpstr>Change</vt:lpstr>
      <vt:lpstr>Comparison</vt:lpstr>
      <vt:lpstr>TotalHomelessVA</vt:lpstr>
      <vt:lpstr>TotalHomelessVA Transpose</vt:lpstr>
      <vt:lpstr>Sheet1</vt:lpstr>
      <vt:lpstr>2024</vt:lpstr>
      <vt:lpstr>2023</vt:lpstr>
      <vt:lpstr>2022</vt:lpstr>
      <vt:lpstr>2021</vt:lpstr>
      <vt:lpstr>2020</vt:lpstr>
      <vt:lpstr>2019</vt:lpstr>
      <vt:lpstr>2018</vt:lpstr>
      <vt:lpstr>2017</vt:lpstr>
      <vt:lpstr>2016</vt:lpstr>
      <vt:lpstr>2015</vt:lpstr>
      <vt:lpstr>2014</vt:lpstr>
      <vt:lpstr>2013</vt:lpstr>
      <vt:lpstr>2012</vt:lpstr>
      <vt:lpstr>2011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Urena</dc:creator>
  <cp:lastModifiedBy>Jose Urena</cp:lastModifiedBy>
  <dcterms:created xsi:type="dcterms:W3CDTF">2024-11-20T16:14:25Z</dcterms:created>
  <dcterms:modified xsi:type="dcterms:W3CDTF">2026-05-11T19:48:49Z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0x01010017E4DD045EB04C45824A8963ACCC6414</vt:lpwstr>
  </property>
</Properties>
</file>